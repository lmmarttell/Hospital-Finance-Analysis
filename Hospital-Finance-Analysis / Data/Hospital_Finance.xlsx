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091e7f387bc489/Desktop/Portfolio Project/Hospital Finance Analysis/"/>
    </mc:Choice>
  </mc:AlternateContent>
  <xr:revisionPtr revIDLastSave="325" documentId="11_F0A376029657B6FFE87DD0355E5DCE3A074EC6D8" xr6:coauthVersionLast="47" xr6:coauthVersionMax="47" xr10:uidLastSave="{F826E1F3-E411-48AE-B1A8-BC989518131F}"/>
  <bookViews>
    <workbookView xWindow="-110" yWindow="-110" windowWidth="19420" windowHeight="10300" xr2:uid="{00000000-000D-0000-FFFF-FFFF00000000}"/>
  </bookViews>
  <sheets>
    <sheet name="Hospital_Finance_Data" sheetId="1" r:id="rId1"/>
    <sheet name="Analysis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2" l="1"/>
  <c r="C70" i="2"/>
  <c r="C69" i="2"/>
  <c r="C68" i="2"/>
  <c r="C67" i="2"/>
  <c r="B71" i="2"/>
  <c r="B70" i="2"/>
  <c r="B69" i="2"/>
  <c r="B68" i="2"/>
  <c r="B67" i="2"/>
  <c r="H26" i="2"/>
  <c r="H25" i="2"/>
  <c r="H24" i="2"/>
  <c r="H23" i="2"/>
  <c r="H22" i="2"/>
  <c r="H21" i="2"/>
  <c r="H20" i="2" a="1"/>
  <c r="H19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J16" i="2"/>
  <c r="I16" i="2"/>
  <c r="H16" i="2"/>
  <c r="J15" i="2"/>
  <c r="I15" i="2"/>
  <c r="H15" i="2"/>
  <c r="J14" i="2"/>
  <c r="I14" i="2"/>
  <c r="H14" i="2"/>
  <c r="J13" i="2"/>
  <c r="I13" i="2"/>
  <c r="H13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B4" i="2"/>
  <c r="B6" i="2"/>
  <c r="B7" i="2"/>
  <c r="B8" i="2"/>
  <c r="B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<sst xmlns="http://schemas.openxmlformats.org/spreadsheetml/2006/main" count="9085" uniqueCount="723">
  <si>
    <t>Encounter_ID</t>
  </si>
  <si>
    <t>Patient_ID</t>
  </si>
  <si>
    <t>Encounter_Date</t>
  </si>
  <si>
    <t>Department</t>
  </si>
  <si>
    <t>ICD10_Code</t>
  </si>
  <si>
    <t>CPT_Code</t>
  </si>
  <si>
    <t>Insurance_Payer</t>
  </si>
  <si>
    <t>Charges</t>
  </si>
  <si>
    <t>Allowed_Amount</t>
  </si>
  <si>
    <t>Paid_Amount</t>
  </si>
  <si>
    <t>Patient_Responsibility</t>
  </si>
  <si>
    <t>AR_Balance</t>
  </si>
  <si>
    <t>Claim_Status</t>
  </si>
  <si>
    <t>Days_in_AR</t>
  </si>
  <si>
    <t>2025-01-29</t>
  </si>
  <si>
    <t>Orthopedics</t>
  </si>
  <si>
    <t>K21.9</t>
  </si>
  <si>
    <t>99213</t>
  </si>
  <si>
    <t>Medicare</t>
  </si>
  <si>
    <t>Paid</t>
  </si>
  <si>
    <t>2025-03-03</t>
  </si>
  <si>
    <t>Oncology</t>
  </si>
  <si>
    <t>J18.9</t>
  </si>
  <si>
    <t>36415</t>
  </si>
  <si>
    <t>Self-Pay</t>
  </si>
  <si>
    <t>2024-05-08</t>
  </si>
  <si>
    <t>M54.5</t>
  </si>
  <si>
    <t>85025</t>
  </si>
  <si>
    <t>Cigna</t>
  </si>
  <si>
    <t>2024-10-06</t>
  </si>
  <si>
    <t>Emergency</t>
  </si>
  <si>
    <t>E11.9</t>
  </si>
  <si>
    <t>70450</t>
  </si>
  <si>
    <t>2024-02-01</t>
  </si>
  <si>
    <t>Cardiology</t>
  </si>
  <si>
    <t>99214</t>
  </si>
  <si>
    <t>2025-01-21</t>
  </si>
  <si>
    <t>N39.0</t>
  </si>
  <si>
    <t>UnitedHealthcare</t>
  </si>
  <si>
    <t>Partial</t>
  </si>
  <si>
    <t>2025-03-12</t>
  </si>
  <si>
    <t>R07.9</t>
  </si>
  <si>
    <t>2024-12-20</t>
  </si>
  <si>
    <t>I10</t>
  </si>
  <si>
    <t>80053</t>
  </si>
  <si>
    <t>Aetna</t>
  </si>
  <si>
    <t>2024-09-12</t>
  </si>
  <si>
    <t>Medicaid</t>
  </si>
  <si>
    <t>2024-12-27</t>
  </si>
  <si>
    <t>Pediatrics</t>
  </si>
  <si>
    <t>Pending</t>
  </si>
  <si>
    <t>2024-10-28</t>
  </si>
  <si>
    <t>Neurology</t>
  </si>
  <si>
    <t>2024-01-25</t>
  </si>
  <si>
    <t>93000</t>
  </si>
  <si>
    <t>2025-09-19</t>
  </si>
  <si>
    <t>F41.9</t>
  </si>
  <si>
    <t>2025-03-28</t>
  </si>
  <si>
    <t>2025-04-22</t>
  </si>
  <si>
    <t>2025-09-05</t>
  </si>
  <si>
    <t>2024-04-16</t>
  </si>
  <si>
    <t>71046</t>
  </si>
  <si>
    <t>Denied</t>
  </si>
  <si>
    <t>2024-02-25</t>
  </si>
  <si>
    <t>2025-04-27</t>
  </si>
  <si>
    <t>Radiology</t>
  </si>
  <si>
    <t>2024-11-06</t>
  </si>
  <si>
    <t>2024-02-19</t>
  </si>
  <si>
    <t>2025-01-16</t>
  </si>
  <si>
    <t>2024-10-10</t>
  </si>
  <si>
    <t>2025-07-20</t>
  </si>
  <si>
    <t>2025-06-16</t>
  </si>
  <si>
    <t>Blue Cross</t>
  </si>
  <si>
    <t>2025-09-11</t>
  </si>
  <si>
    <t>2024-09-10</t>
  </si>
  <si>
    <t>2025-08-01</t>
  </si>
  <si>
    <t>2025-08-16</t>
  </si>
  <si>
    <t>2024-12-24</t>
  </si>
  <si>
    <t>2025-01-11</t>
  </si>
  <si>
    <t>2025-08-10</t>
  </si>
  <si>
    <t>2025-07-27</t>
  </si>
  <si>
    <t>2025-06-27</t>
  </si>
  <si>
    <t>2025-11-01</t>
  </si>
  <si>
    <t>2025-12-28</t>
  </si>
  <si>
    <t>2025-12-13</t>
  </si>
  <si>
    <t>2025-11-05</t>
  </si>
  <si>
    <t>2024-11-14</t>
  </si>
  <si>
    <t>2025-08-15</t>
  </si>
  <si>
    <t>2024-07-18</t>
  </si>
  <si>
    <t>2024-05-09</t>
  </si>
  <si>
    <t>2024-04-15</t>
  </si>
  <si>
    <t>2024-09-15</t>
  </si>
  <si>
    <t>2024-12-06</t>
  </si>
  <si>
    <t>2024-12-11</t>
  </si>
  <si>
    <t>2025-10-31</t>
  </si>
  <si>
    <t>2024-08-28</t>
  </si>
  <si>
    <t>2025-06-30</t>
  </si>
  <si>
    <t>2025-06-17</t>
  </si>
  <si>
    <t>2024-04-23</t>
  </si>
  <si>
    <t>2025-03-02</t>
  </si>
  <si>
    <t>2024-12-25</t>
  </si>
  <si>
    <t>2025-04-10</t>
  </si>
  <si>
    <t>2024-01-08</t>
  </si>
  <si>
    <t>2024-08-17</t>
  </si>
  <si>
    <t>2025-05-25</t>
  </si>
  <si>
    <t>2025-02-11</t>
  </si>
  <si>
    <t>2024-08-09</t>
  </si>
  <si>
    <t>2025-11-14</t>
  </si>
  <si>
    <t>2025-09-17</t>
  </si>
  <si>
    <t>2024-02-11</t>
  </si>
  <si>
    <t>2024-03-09</t>
  </si>
  <si>
    <t>2024-04-27</t>
  </si>
  <si>
    <t>2024-02-15</t>
  </si>
  <si>
    <t>2025-09-04</t>
  </si>
  <si>
    <t>2025-07-02</t>
  </si>
  <si>
    <t>2024-08-19</t>
  </si>
  <si>
    <t>2024-05-03</t>
  </si>
  <si>
    <t>2024-02-26</t>
  </si>
  <si>
    <t>2024-05-17</t>
  </si>
  <si>
    <t>2024-10-07</t>
  </si>
  <si>
    <t>2024-04-22</t>
  </si>
  <si>
    <t>2024-03-17</t>
  </si>
  <si>
    <t>2024-02-28</t>
  </si>
  <si>
    <t>2024-07-20</t>
  </si>
  <si>
    <t>2024-12-08</t>
  </si>
  <si>
    <t>2024-06-29</t>
  </si>
  <si>
    <t>2024-02-02</t>
  </si>
  <si>
    <t>2024-05-07</t>
  </si>
  <si>
    <t>2024-05-29</t>
  </si>
  <si>
    <t>2024-08-22</t>
  </si>
  <si>
    <t>2024-03-21</t>
  </si>
  <si>
    <t>2024-02-24</t>
  </si>
  <si>
    <t>2025-06-18</t>
  </si>
  <si>
    <t>2025-03-26</t>
  </si>
  <si>
    <t>2025-04-24</t>
  </si>
  <si>
    <t>2024-06-11</t>
  </si>
  <si>
    <t>2024-11-15</t>
  </si>
  <si>
    <t>2024-08-07</t>
  </si>
  <si>
    <t>2025-06-22</t>
  </si>
  <si>
    <t>2024-10-27</t>
  </si>
  <si>
    <t>2025-10-13</t>
  </si>
  <si>
    <t>2025-03-18</t>
  </si>
  <si>
    <t>2024-02-13</t>
  </si>
  <si>
    <t>2024-05-20</t>
  </si>
  <si>
    <t>2024-06-22</t>
  </si>
  <si>
    <t>2025-07-29</t>
  </si>
  <si>
    <t>2025-06-28</t>
  </si>
  <si>
    <t>2024-08-02</t>
  </si>
  <si>
    <t>2025-04-15</t>
  </si>
  <si>
    <t>2025-05-16</t>
  </si>
  <si>
    <t>2025-08-03</t>
  </si>
  <si>
    <t>2024-07-19</t>
  </si>
  <si>
    <t>2024-07-02</t>
  </si>
  <si>
    <t>2025-12-16</t>
  </si>
  <si>
    <t>2024-10-16</t>
  </si>
  <si>
    <t>2025-04-01</t>
  </si>
  <si>
    <t>2025-06-02</t>
  </si>
  <si>
    <t>2024-03-28</t>
  </si>
  <si>
    <t>2025-11-16</t>
  </si>
  <si>
    <t>2025-08-22</t>
  </si>
  <si>
    <t>2024-05-04</t>
  </si>
  <si>
    <t>2024-05-23</t>
  </si>
  <si>
    <t>2024-02-10</t>
  </si>
  <si>
    <t>2025-03-10</t>
  </si>
  <si>
    <t>2025-12-01</t>
  </si>
  <si>
    <t>2024-08-21</t>
  </si>
  <si>
    <t>2025-04-26</t>
  </si>
  <si>
    <t>2025-01-13</t>
  </si>
  <si>
    <t>2025-12-26</t>
  </si>
  <si>
    <t>2025-07-07</t>
  </si>
  <si>
    <t>2025-07-22</t>
  </si>
  <si>
    <t>2025-07-04</t>
  </si>
  <si>
    <t>2024-05-11</t>
  </si>
  <si>
    <t>2024-09-18</t>
  </si>
  <si>
    <t>2024-03-05</t>
  </si>
  <si>
    <t>2024-03-19</t>
  </si>
  <si>
    <t>2025-04-28</t>
  </si>
  <si>
    <t>2025-04-08</t>
  </si>
  <si>
    <t>2025-12-03</t>
  </si>
  <si>
    <t>2025-02-21</t>
  </si>
  <si>
    <t>2024-02-05</t>
  </si>
  <si>
    <t>2024-07-16</t>
  </si>
  <si>
    <t>2024-07-04</t>
  </si>
  <si>
    <t>2025-04-07</t>
  </si>
  <si>
    <t>2024-09-13</t>
  </si>
  <si>
    <t>2024-11-08</t>
  </si>
  <si>
    <t>2024-10-09</t>
  </si>
  <si>
    <t>2024-02-03</t>
  </si>
  <si>
    <t>2025-04-02</t>
  </si>
  <si>
    <t>2025-10-29</t>
  </si>
  <si>
    <t>2024-02-07</t>
  </si>
  <si>
    <t>2024-12-18</t>
  </si>
  <si>
    <t>2025-09-28</t>
  </si>
  <si>
    <t>2024-07-31</t>
  </si>
  <si>
    <t>2024-06-19</t>
  </si>
  <si>
    <t>2025-06-13</t>
  </si>
  <si>
    <t>2025-12-31</t>
  </si>
  <si>
    <t>2024-07-11</t>
  </si>
  <si>
    <t>2024-03-03</t>
  </si>
  <si>
    <t>2025-01-15</t>
  </si>
  <si>
    <t>2025-10-26</t>
  </si>
  <si>
    <t>2025-08-19</t>
  </si>
  <si>
    <t>2025-08-24</t>
  </si>
  <si>
    <t>2024-10-15</t>
  </si>
  <si>
    <t>2025-01-27</t>
  </si>
  <si>
    <t>2025-08-02</t>
  </si>
  <si>
    <t>2024-05-02</t>
  </si>
  <si>
    <t>2025-09-03</t>
  </si>
  <si>
    <t>2025-02-07</t>
  </si>
  <si>
    <t>2025-04-04</t>
  </si>
  <si>
    <t>2024-03-04</t>
  </si>
  <si>
    <t>2025-11-03</t>
  </si>
  <si>
    <t>2024-11-10</t>
  </si>
  <si>
    <t>2025-11-06</t>
  </si>
  <si>
    <t>2024-03-22</t>
  </si>
  <si>
    <t>2025-05-07</t>
  </si>
  <si>
    <t>2024-11-04</t>
  </si>
  <si>
    <t>2025-11-18</t>
  </si>
  <si>
    <t>2025-11-07</t>
  </si>
  <si>
    <t>2024-01-28</t>
  </si>
  <si>
    <t>2025-09-27</t>
  </si>
  <si>
    <t>2025-10-08</t>
  </si>
  <si>
    <t>2024-08-25</t>
  </si>
  <si>
    <t>2025-10-05</t>
  </si>
  <si>
    <t>2024-08-14</t>
  </si>
  <si>
    <t>2024-08-20</t>
  </si>
  <si>
    <t>2025-12-27</t>
  </si>
  <si>
    <t>2024-09-06</t>
  </si>
  <si>
    <t>2024-05-26</t>
  </si>
  <si>
    <t>2024-10-19</t>
  </si>
  <si>
    <t>2024-03-01</t>
  </si>
  <si>
    <t>2024-03-24</t>
  </si>
  <si>
    <t>2025-10-14</t>
  </si>
  <si>
    <t>2025-01-12</t>
  </si>
  <si>
    <t>2025-02-28</t>
  </si>
  <si>
    <t>2024-11-25</t>
  </si>
  <si>
    <t>2024-01-12</t>
  </si>
  <si>
    <t>2025-02-17</t>
  </si>
  <si>
    <t>2025-09-25</t>
  </si>
  <si>
    <t>2025-02-10</t>
  </si>
  <si>
    <t>2024-07-17</t>
  </si>
  <si>
    <t>2024-10-13</t>
  </si>
  <si>
    <t>2024-12-01</t>
  </si>
  <si>
    <t>2025-07-21</t>
  </si>
  <si>
    <t>2024-02-08</t>
  </si>
  <si>
    <t>2025-02-13</t>
  </si>
  <si>
    <t>2024-04-24</t>
  </si>
  <si>
    <t>2025-07-06</t>
  </si>
  <si>
    <t>2025-05-08</t>
  </si>
  <si>
    <t>2025-01-17</t>
  </si>
  <si>
    <t>2024-07-09</t>
  </si>
  <si>
    <t>2024-05-01</t>
  </si>
  <si>
    <t>2024-04-14</t>
  </si>
  <si>
    <t>2024-06-26</t>
  </si>
  <si>
    <t>2024-03-11</t>
  </si>
  <si>
    <t>2025-07-31</t>
  </si>
  <si>
    <t>2024-01-27</t>
  </si>
  <si>
    <t>2024-01-10</t>
  </si>
  <si>
    <t>2024-09-21</t>
  </si>
  <si>
    <t>2025-01-08</t>
  </si>
  <si>
    <t>2025-01-07</t>
  </si>
  <si>
    <t>2024-09-24</t>
  </si>
  <si>
    <t>2025-08-08</t>
  </si>
  <si>
    <t>2024-10-08</t>
  </si>
  <si>
    <t>2024-06-13</t>
  </si>
  <si>
    <t>2025-04-05</t>
  </si>
  <si>
    <t>2025-11-20</t>
  </si>
  <si>
    <t>2025-05-18</t>
  </si>
  <si>
    <t>2025-12-12</t>
  </si>
  <si>
    <t>2024-10-14</t>
  </si>
  <si>
    <t>2025-02-08</t>
  </si>
  <si>
    <t>2024-08-03</t>
  </si>
  <si>
    <t>2024-05-06</t>
  </si>
  <si>
    <t>2025-03-20</t>
  </si>
  <si>
    <t>2024-06-25</t>
  </si>
  <si>
    <t>2025-06-29</t>
  </si>
  <si>
    <t>2025-09-21</t>
  </si>
  <si>
    <t>2024-05-14</t>
  </si>
  <si>
    <t>2025-04-30</t>
  </si>
  <si>
    <t>2024-04-08</t>
  </si>
  <si>
    <t>2024-01-09</t>
  </si>
  <si>
    <t>2025-09-16</t>
  </si>
  <si>
    <t>2025-03-30</t>
  </si>
  <si>
    <t>2025-04-14</t>
  </si>
  <si>
    <t>2024-12-07</t>
  </si>
  <si>
    <t>2025-06-06</t>
  </si>
  <si>
    <t>2024-10-01</t>
  </si>
  <si>
    <t>2024-06-21</t>
  </si>
  <si>
    <t>2025-03-14</t>
  </si>
  <si>
    <t>2024-01-02</t>
  </si>
  <si>
    <t>2024-03-13</t>
  </si>
  <si>
    <t>2024-02-04</t>
  </si>
  <si>
    <t>2024-06-06</t>
  </si>
  <si>
    <t>2024-05-31</t>
  </si>
  <si>
    <t>2024-01-03</t>
  </si>
  <si>
    <t>2025-12-04</t>
  </si>
  <si>
    <t>2025-05-14</t>
  </si>
  <si>
    <t>2025-07-05</t>
  </si>
  <si>
    <t>2024-11-07</t>
  </si>
  <si>
    <t>2024-07-15</t>
  </si>
  <si>
    <t>2024-11-05</t>
  </si>
  <si>
    <t>2024-01-31</t>
  </si>
  <si>
    <t>2025-05-29</t>
  </si>
  <si>
    <t>2025-08-06</t>
  </si>
  <si>
    <t>2024-03-08</t>
  </si>
  <si>
    <t>2025-08-14</t>
  </si>
  <si>
    <t>2025-11-10</t>
  </si>
  <si>
    <t>2024-03-16</t>
  </si>
  <si>
    <t>2025-04-06</t>
  </si>
  <si>
    <t>2025-07-13</t>
  </si>
  <si>
    <t>2025-01-14</t>
  </si>
  <si>
    <t>2024-10-05</t>
  </si>
  <si>
    <t>2024-04-11</t>
  </si>
  <si>
    <t>2024-01-30</t>
  </si>
  <si>
    <t>2024-02-12</t>
  </si>
  <si>
    <t>2024-11-12</t>
  </si>
  <si>
    <t>2025-02-25</t>
  </si>
  <si>
    <t>2024-12-15</t>
  </si>
  <si>
    <t>2024-10-18</t>
  </si>
  <si>
    <t>2024-11-27</t>
  </si>
  <si>
    <t>2025-08-20</t>
  </si>
  <si>
    <t>2025-01-01</t>
  </si>
  <si>
    <t>2025-10-15</t>
  </si>
  <si>
    <t>2025-03-31</t>
  </si>
  <si>
    <t>2025-11-25</t>
  </si>
  <si>
    <t>2025-04-29</t>
  </si>
  <si>
    <t>2025-11-12</t>
  </si>
  <si>
    <t>2025-01-22</t>
  </si>
  <si>
    <t>2024-10-25</t>
  </si>
  <si>
    <t>2024-08-27</t>
  </si>
  <si>
    <t>2024-06-16</t>
  </si>
  <si>
    <t>2024-07-30</t>
  </si>
  <si>
    <t>2025-12-25</t>
  </si>
  <si>
    <t>2024-03-02</t>
  </si>
  <si>
    <t>2024-09-16</t>
  </si>
  <si>
    <t>2025-12-17</t>
  </si>
  <si>
    <t>2024-08-16</t>
  </si>
  <si>
    <t>2025-01-03</t>
  </si>
  <si>
    <t>2024-04-04</t>
  </si>
  <si>
    <t>2025-06-21</t>
  </si>
  <si>
    <t>2024-04-26</t>
  </si>
  <si>
    <t>2024-08-13</t>
  </si>
  <si>
    <t>2024-06-01</t>
  </si>
  <si>
    <t>2025-09-29</t>
  </si>
  <si>
    <t>2024-12-22</t>
  </si>
  <si>
    <t>2024-06-07</t>
  </si>
  <si>
    <t>2025-06-05</t>
  </si>
  <si>
    <t>2025-11-09</t>
  </si>
  <si>
    <t>2024-05-15</t>
  </si>
  <si>
    <t>2024-12-02</t>
  </si>
  <si>
    <t>2025-12-22</t>
  </si>
  <si>
    <t>2025-09-01</t>
  </si>
  <si>
    <t>2025-07-26</t>
  </si>
  <si>
    <t>2025-03-21</t>
  </si>
  <si>
    <t>2025-04-12</t>
  </si>
  <si>
    <t>2025-05-24</t>
  </si>
  <si>
    <t>2025-02-24</t>
  </si>
  <si>
    <t>2025-12-20</t>
  </si>
  <si>
    <t>2025-03-19</t>
  </si>
  <si>
    <t>2024-01-17</t>
  </si>
  <si>
    <t>2024-11-18</t>
  </si>
  <si>
    <t>2025-11-13</t>
  </si>
  <si>
    <t>2024-11-26</t>
  </si>
  <si>
    <t>2025-07-23</t>
  </si>
  <si>
    <t>2024-08-29</t>
  </si>
  <si>
    <t>2024-04-06</t>
  </si>
  <si>
    <t>2025-12-08</t>
  </si>
  <si>
    <t>2025-10-09</t>
  </si>
  <si>
    <t>2025-06-10</t>
  </si>
  <si>
    <t>2025-01-02</t>
  </si>
  <si>
    <t>2025-04-25</t>
  </si>
  <si>
    <t>2024-01-07</t>
  </si>
  <si>
    <t>2024-08-04</t>
  </si>
  <si>
    <t>2025-08-30</t>
  </si>
  <si>
    <t>2025-01-30</t>
  </si>
  <si>
    <t>2024-01-18</t>
  </si>
  <si>
    <t>2024-11-03</t>
  </si>
  <si>
    <t>2025-11-02</t>
  </si>
  <si>
    <t>2024-10-30</t>
  </si>
  <si>
    <t>2024-05-22</t>
  </si>
  <si>
    <t>2025-05-01</t>
  </si>
  <si>
    <t>2024-06-17</t>
  </si>
  <si>
    <t>2025-10-07</t>
  </si>
  <si>
    <t>2025-11-08</t>
  </si>
  <si>
    <t>2024-02-06</t>
  </si>
  <si>
    <t>2024-03-14</t>
  </si>
  <si>
    <t>2025-03-29</t>
  </si>
  <si>
    <t>2025-12-30</t>
  </si>
  <si>
    <t>2024-09-27</t>
  </si>
  <si>
    <t>2024-06-10</t>
  </si>
  <si>
    <t>2024-08-11</t>
  </si>
  <si>
    <t>2024-01-24</t>
  </si>
  <si>
    <t>2025-06-08</t>
  </si>
  <si>
    <t>2024-05-27</t>
  </si>
  <si>
    <t>2024-11-23</t>
  </si>
  <si>
    <t>2024-01-01</t>
  </si>
  <si>
    <t>2024-06-20</t>
  </si>
  <si>
    <t>2025-08-13</t>
  </si>
  <si>
    <t>2025-05-12</t>
  </si>
  <si>
    <t>2025-01-31</t>
  </si>
  <si>
    <t>2025-06-23</t>
  </si>
  <si>
    <t>2025-05-22</t>
  </si>
  <si>
    <t>2024-05-18</t>
  </si>
  <si>
    <t>2024-03-30</t>
  </si>
  <si>
    <t>2024-09-14</t>
  </si>
  <si>
    <t>2025-05-15</t>
  </si>
  <si>
    <t>2025-08-05</t>
  </si>
  <si>
    <t>2025-06-20</t>
  </si>
  <si>
    <t>2024-08-26</t>
  </si>
  <si>
    <t>2024-04-17</t>
  </si>
  <si>
    <t>2024-06-27</t>
  </si>
  <si>
    <t>2024-10-03</t>
  </si>
  <si>
    <t>2025-03-27</t>
  </si>
  <si>
    <t>2025-05-31</t>
  </si>
  <si>
    <t>2024-04-18</t>
  </si>
  <si>
    <t>2024-12-16</t>
  </si>
  <si>
    <t>2025-02-22</t>
  </si>
  <si>
    <t>2024-12-29</t>
  </si>
  <si>
    <t>2024-07-28</t>
  </si>
  <si>
    <t>2025-07-10</t>
  </si>
  <si>
    <t>2025-07-30</t>
  </si>
  <si>
    <t>2025-02-06</t>
  </si>
  <si>
    <t>2025-05-27</t>
  </si>
  <si>
    <t>2024-04-10</t>
  </si>
  <si>
    <t>2025-11-22</t>
  </si>
  <si>
    <t>2025-01-23</t>
  </si>
  <si>
    <t>2024-11-13</t>
  </si>
  <si>
    <t>2025-02-27</t>
  </si>
  <si>
    <t>2024-12-21</t>
  </si>
  <si>
    <t>2024-09-20</t>
  </si>
  <si>
    <t>2025-10-23</t>
  </si>
  <si>
    <t>2025-12-29</t>
  </si>
  <si>
    <t>2025-08-25</t>
  </si>
  <si>
    <t>2024-09-09</t>
  </si>
  <si>
    <t>2025-05-06</t>
  </si>
  <si>
    <t>2024-09-03</t>
  </si>
  <si>
    <t>2024-07-08</t>
  </si>
  <si>
    <t>2024-07-06</t>
  </si>
  <si>
    <t>2024-02-17</t>
  </si>
  <si>
    <t>2024-01-16</t>
  </si>
  <si>
    <t>2024-10-29</t>
  </si>
  <si>
    <t>2025-08-26</t>
  </si>
  <si>
    <t>2025-05-19</t>
  </si>
  <si>
    <t>2024-12-04</t>
  </si>
  <si>
    <t>2025-05-04</t>
  </si>
  <si>
    <t>2025-07-11</t>
  </si>
  <si>
    <t>2024-07-24</t>
  </si>
  <si>
    <t>2024-05-21</t>
  </si>
  <si>
    <t>2025-02-04</t>
  </si>
  <si>
    <t>2025-08-09</t>
  </si>
  <si>
    <t>2024-04-02</t>
  </si>
  <si>
    <t>2024-08-05</t>
  </si>
  <si>
    <t>2025-09-10</t>
  </si>
  <si>
    <t>2025-12-10</t>
  </si>
  <si>
    <t>2024-11-09</t>
  </si>
  <si>
    <t>2024-03-29</t>
  </si>
  <si>
    <t>2024-10-26</t>
  </si>
  <si>
    <t>2025-10-30</t>
  </si>
  <si>
    <t>2025-06-19</t>
  </si>
  <si>
    <t>2025-10-11</t>
  </si>
  <si>
    <t>2024-03-10</t>
  </si>
  <si>
    <t>2025-12-09</t>
  </si>
  <si>
    <t>2024-03-27</t>
  </si>
  <si>
    <t>2024-04-12</t>
  </si>
  <si>
    <t>2025-08-17</t>
  </si>
  <si>
    <t>2025-07-12</t>
  </si>
  <si>
    <t>2025-07-24</t>
  </si>
  <si>
    <t>2024-12-31</t>
  </si>
  <si>
    <t>2025-09-22</t>
  </si>
  <si>
    <t>2025-03-15</t>
  </si>
  <si>
    <t>2025-07-25</t>
  </si>
  <si>
    <t>2024-10-12</t>
  </si>
  <si>
    <t>2024-08-01</t>
  </si>
  <si>
    <t>2025-09-12</t>
  </si>
  <si>
    <t>2025-10-10</t>
  </si>
  <si>
    <t>2024-12-03</t>
  </si>
  <si>
    <t>2025-01-28</t>
  </si>
  <si>
    <t>2024-11-19</t>
  </si>
  <si>
    <t>2025-12-02</t>
  </si>
  <si>
    <t>2024-02-20</t>
  </si>
  <si>
    <t>2025-05-20</t>
  </si>
  <si>
    <t>2025-12-19</t>
  </si>
  <si>
    <t>2025-06-26</t>
  </si>
  <si>
    <t>2024-07-05</t>
  </si>
  <si>
    <t>2025-08-31</t>
  </si>
  <si>
    <t>2024-06-09</t>
  </si>
  <si>
    <t>2025-07-03</t>
  </si>
  <si>
    <t>2025-12-07</t>
  </si>
  <si>
    <t>2024-12-10</t>
  </si>
  <si>
    <t>2025-01-18</t>
  </si>
  <si>
    <t>2025-11-30</t>
  </si>
  <si>
    <t>2024-08-10</t>
  </si>
  <si>
    <t>2025-01-06</t>
  </si>
  <si>
    <t>2025-02-05</t>
  </si>
  <si>
    <t>2024-09-08</t>
  </si>
  <si>
    <t>2024-01-26</t>
  </si>
  <si>
    <t>2025-01-10</t>
  </si>
  <si>
    <t>2025-12-14</t>
  </si>
  <si>
    <t>2025-06-04</t>
  </si>
  <si>
    <t>2025-03-24</t>
  </si>
  <si>
    <t>2024-05-10</t>
  </si>
  <si>
    <t>2025-11-27</t>
  </si>
  <si>
    <t>2025-07-16</t>
  </si>
  <si>
    <t>2025-02-26</t>
  </si>
  <si>
    <t>2025-07-09</t>
  </si>
  <si>
    <t>2025-03-09</t>
  </si>
  <si>
    <t>2025-10-27</t>
  </si>
  <si>
    <t>2024-12-09</t>
  </si>
  <si>
    <t>2024-04-05</t>
  </si>
  <si>
    <t>2025-05-26</t>
  </si>
  <si>
    <t>2025-05-11</t>
  </si>
  <si>
    <t>2024-04-30</t>
  </si>
  <si>
    <t>2025-09-24</t>
  </si>
  <si>
    <t>2024-01-21</t>
  </si>
  <si>
    <t>2025-04-13</t>
  </si>
  <si>
    <t>2024-01-06</t>
  </si>
  <si>
    <t>2024-10-20</t>
  </si>
  <si>
    <t>2025-03-11</t>
  </si>
  <si>
    <t>2024-10-21</t>
  </si>
  <si>
    <t>2024-08-18</t>
  </si>
  <si>
    <t>2025-11-04</t>
  </si>
  <si>
    <t>2025-01-26</t>
  </si>
  <si>
    <t>2025-10-25</t>
  </si>
  <si>
    <t>2025-05-05</t>
  </si>
  <si>
    <t>2024-11-28</t>
  </si>
  <si>
    <t>2025-07-08</t>
  </si>
  <si>
    <t>2025-09-07</t>
  </si>
  <si>
    <t>2024-02-27</t>
  </si>
  <si>
    <t>2025-05-13</t>
  </si>
  <si>
    <t>2025-08-18</t>
  </si>
  <si>
    <t>2024-09-30</t>
  </si>
  <si>
    <t>2025-03-05</t>
  </si>
  <si>
    <t>2025-10-21</t>
  </si>
  <si>
    <t>2024-09-01</t>
  </si>
  <si>
    <t>2025-08-29</t>
  </si>
  <si>
    <t>2024-12-17</t>
  </si>
  <si>
    <t>2024-10-17</t>
  </si>
  <si>
    <t>2024-02-22</t>
  </si>
  <si>
    <t>2024-10-24</t>
  </si>
  <si>
    <t>2024-12-26</t>
  </si>
  <si>
    <t>2024-06-05</t>
  </si>
  <si>
    <t>2025-04-23</t>
  </si>
  <si>
    <t>2025-06-03</t>
  </si>
  <si>
    <t>2025-09-18</t>
  </si>
  <si>
    <t>2025-07-15</t>
  </si>
  <si>
    <t>2025-04-03</t>
  </si>
  <si>
    <t>2025-09-02</t>
  </si>
  <si>
    <t>2025-04-20</t>
  </si>
  <si>
    <t>2025-07-18</t>
  </si>
  <si>
    <t>2024-07-07</t>
  </si>
  <si>
    <t>2024-07-14</t>
  </si>
  <si>
    <t>2024-03-20</t>
  </si>
  <si>
    <t>2024-06-24</t>
  </si>
  <si>
    <t>2025-11-19</t>
  </si>
  <si>
    <t>2025-03-01</t>
  </si>
  <si>
    <t>2024-10-04</t>
  </si>
  <si>
    <t>2024-09-23</t>
  </si>
  <si>
    <t>2024-02-29</t>
  </si>
  <si>
    <t>2025-10-19</t>
  </si>
  <si>
    <t>2025-05-03</t>
  </si>
  <si>
    <t>2024-01-15</t>
  </si>
  <si>
    <t>2024-12-05</t>
  </si>
  <si>
    <t>2024-02-16</t>
  </si>
  <si>
    <t>2025-02-02</t>
  </si>
  <si>
    <t>2025-02-12</t>
  </si>
  <si>
    <t>2024-12-14</t>
  </si>
  <si>
    <t>2024-07-27</t>
  </si>
  <si>
    <t>2024-04-28</t>
  </si>
  <si>
    <t>2024-01-13</t>
  </si>
  <si>
    <t>2024-04-09</t>
  </si>
  <si>
    <t>2025-12-05</t>
  </si>
  <si>
    <t>2024-10-23</t>
  </si>
  <si>
    <t>2024-09-02</t>
  </si>
  <si>
    <t>2025-06-24</t>
  </si>
  <si>
    <t>2025-10-04</t>
  </si>
  <si>
    <t>2024-06-14</t>
  </si>
  <si>
    <t>2024-11-01</t>
  </si>
  <si>
    <t>2024-12-23</t>
  </si>
  <si>
    <t>2024-04-01</t>
  </si>
  <si>
    <t>2025-02-09</t>
  </si>
  <si>
    <t>2024-12-28</t>
  </si>
  <si>
    <t>2025-11-29</t>
  </si>
  <si>
    <t>2024-04-13</t>
  </si>
  <si>
    <t>2024-05-13</t>
  </si>
  <si>
    <t>2025-04-16</t>
  </si>
  <si>
    <t>2024-11-16</t>
  </si>
  <si>
    <t>2024-07-13</t>
  </si>
  <si>
    <t>2024-09-05</t>
  </si>
  <si>
    <t>2024-08-24</t>
  </si>
  <si>
    <t>2025-05-28</t>
  </si>
  <si>
    <t>2025-04-09</t>
  </si>
  <si>
    <t>2025-03-04</t>
  </si>
  <si>
    <t>2025-02-20</t>
  </si>
  <si>
    <t>2025-09-06</t>
  </si>
  <si>
    <t>2025-11-15</t>
  </si>
  <si>
    <t>2025-01-04</t>
  </si>
  <si>
    <t>2024-11-17</t>
  </si>
  <si>
    <t>2025-12-11</t>
  </si>
  <si>
    <t>2024-05-24</t>
  </si>
  <si>
    <t>2024-12-13</t>
  </si>
  <si>
    <t>2024-09-26</t>
  </si>
  <si>
    <t>2025-11-21</t>
  </si>
  <si>
    <t>2025-10-06</t>
  </si>
  <si>
    <t>2024-03-07</t>
  </si>
  <si>
    <t>2025-05-30</t>
  </si>
  <si>
    <t>2025-09-23</t>
  </si>
  <si>
    <t>2024-02-14</t>
  </si>
  <si>
    <t>2025-10-12</t>
  </si>
  <si>
    <t>2025-11-17</t>
  </si>
  <si>
    <t>2025-02-16</t>
  </si>
  <si>
    <t>2024-02-23</t>
  </si>
  <si>
    <t>2024-07-29</t>
  </si>
  <si>
    <t>2024-07-03</t>
  </si>
  <si>
    <t>2024-03-23</t>
  </si>
  <si>
    <t>2024-10-02</t>
  </si>
  <si>
    <t>2025-12-24</t>
  </si>
  <si>
    <t>2025-12-06</t>
  </si>
  <si>
    <t>2024-05-30</t>
  </si>
  <si>
    <t>2025-08-12</t>
  </si>
  <si>
    <t>2024-11-21</t>
  </si>
  <si>
    <t>2025-02-15</t>
  </si>
  <si>
    <t>2024-11-20</t>
  </si>
  <si>
    <t>2024-06-08</t>
  </si>
  <si>
    <t>2025-11-11</t>
  </si>
  <si>
    <t>2025-02-01</t>
  </si>
  <si>
    <t>2024-08-31</t>
  </si>
  <si>
    <t>2025-11-26</t>
  </si>
  <si>
    <t>2024-01-14</t>
  </si>
  <si>
    <t>2024-04-03</t>
  </si>
  <si>
    <t>2024-07-12</t>
  </si>
  <si>
    <t>2025-06-01</t>
  </si>
  <si>
    <t>2024-01-04</t>
  </si>
  <si>
    <t>2024-03-26</t>
  </si>
  <si>
    <t>2025-03-23</t>
  </si>
  <si>
    <t>2024-07-01</t>
  </si>
  <si>
    <t>2024-09-11</t>
  </si>
  <si>
    <t>2024-04-07</t>
  </si>
  <si>
    <t>2025-02-23</t>
  </si>
  <si>
    <t>2025-02-14</t>
  </si>
  <si>
    <t>2024-02-09</t>
  </si>
  <si>
    <t>2024-05-16</t>
  </si>
  <si>
    <t>2024-01-22</t>
  </si>
  <si>
    <t>2025-10-28</t>
  </si>
  <si>
    <t>2024-08-08</t>
  </si>
  <si>
    <t>2025-12-21</t>
  </si>
  <si>
    <t>2024-06-02</t>
  </si>
  <si>
    <t>2025-07-19</t>
  </si>
  <si>
    <t>2025-05-17</t>
  </si>
  <si>
    <t>2024-03-25</t>
  </si>
  <si>
    <t>2025-03-06</t>
  </si>
  <si>
    <t>2024-11-29</t>
  </si>
  <si>
    <t>2024-09-22</t>
  </si>
  <si>
    <t>2025-11-24</t>
  </si>
  <si>
    <t>2025-03-13</t>
  </si>
  <si>
    <t>2025-03-07</t>
  </si>
  <si>
    <t>2025-10-16</t>
  </si>
  <si>
    <t>2025-04-11</t>
  </si>
  <si>
    <t>2024-02-21</t>
  </si>
  <si>
    <t>2025-11-28</t>
  </si>
  <si>
    <t>2024-01-19</t>
  </si>
  <si>
    <t>2025-05-09</t>
  </si>
  <si>
    <t>2024-07-21</t>
  </si>
  <si>
    <t>2025-01-09</t>
  </si>
  <si>
    <t>2024-03-31</t>
  </si>
  <si>
    <t>2024-09-04</t>
  </si>
  <si>
    <t>2025-06-12</t>
  </si>
  <si>
    <t>2024-07-23</t>
  </si>
  <si>
    <t>2024-03-12</t>
  </si>
  <si>
    <t>2024-01-29</t>
  </si>
  <si>
    <t>2025-12-23</t>
  </si>
  <si>
    <t>2025-06-25</t>
  </si>
  <si>
    <t>2024-12-12</t>
  </si>
  <si>
    <t>2024-06-18</t>
  </si>
  <si>
    <t>2024-06-28</t>
  </si>
  <si>
    <t>2025-02-19</t>
  </si>
  <si>
    <t>Hospital Finance Data Analysis Dashboard</t>
  </si>
  <si>
    <t>📊 Dataset Overview</t>
  </si>
  <si>
    <t>Total Encounters:</t>
  </si>
  <si>
    <t>Date Range:</t>
  </si>
  <si>
    <t>Total Charges:</t>
  </si>
  <si>
    <t>Total Paid Amount:</t>
  </si>
  <si>
    <t>Total AR Balance:</t>
  </si>
  <si>
    <t>Collection Rate:</t>
  </si>
  <si>
    <t>📋 Department Analysis</t>
  </si>
  <si>
    <t>Encounters</t>
  </si>
  <si>
    <t>Total Charges</t>
  </si>
  <si>
    <t>Total Paid</t>
  </si>
  <si>
    <t>Avg Days in AR</t>
  </si>
  <si>
    <t>📈 Claim Status Analysis</t>
  </si>
  <si>
    <t>Claim Status</t>
  </si>
  <si>
    <t>Count</t>
  </si>
  <si>
    <t>% of Total</t>
  </si>
  <si>
    <t>🏥 Insurance Payer Analysis</t>
  </si>
  <si>
    <t>Insurance Payer</t>
  </si>
  <si>
    <t>Avg Allowed</t>
  </si>
  <si>
    <t>Denied Count</t>
  </si>
  <si>
    <t>Denial Rate</t>
  </si>
  <si>
    <t>💡 Key Insights</t>
  </si>
  <si>
    <t>• Highest Revenue Department:</t>
  </si>
  <si>
    <t>• Lowest Collection Dept:</t>
  </si>
  <si>
    <t>• Total Denied Claims Value:</t>
  </si>
  <si>
    <t>• Avg Patient Responsibility:</t>
  </si>
  <si>
    <t>• Claims &gt;90 Days AR:</t>
  </si>
  <si>
    <t>• High Value Claims (&gt;$20K):</t>
  </si>
  <si>
    <t>• Pending AR Value:</t>
  </si>
  <si>
    <t>• Write-off Risk (Denied):</t>
  </si>
  <si>
    <t>⏱️ AR Aging Analysis</t>
  </si>
  <si>
    <t>AR Aging Bucket</t>
  </si>
  <si>
    <t>Total AR Balance</t>
  </si>
  <si>
    <t>0-30 Days</t>
  </si>
  <si>
    <t>31-60 Days</t>
  </si>
  <si>
    <t>61-90 Days</t>
  </si>
  <si>
    <t>91-120 Days</t>
  </si>
  <si>
    <t>&gt;120 Days</t>
  </si>
  <si>
    <t>📌 Key Findings &amp; Recommendations</t>
  </si>
  <si>
    <t>2024-01-02 to 2025-12-31</t>
  </si>
  <si>
    <t>1. Revenue Concentration: Emergency and Orthopedics generate highest charges - focus collection efforts here.</t>
  </si>
  <si>
    <t>2. Denial Management: Review high-denial payers (Cigna 14.2%, Medicaid 11.8%) for patterns and appeals.</t>
  </si>
  <si>
    <t>3. AR Aging Risk: 739 claims (&gt;$4M) over 90 days - prioritize follow-up on aged accounts.</t>
  </si>
  <si>
    <t>4. Patient Collections: Avg $3,233 patient responsibility - opportunity for point-of-service collection.</t>
  </si>
  <si>
    <t>5. Payer Strategy: Self-Pay and commercial payers may need different collection approaches.</t>
  </si>
  <si>
    <t>6. Pending Claims: Review 128 pending claims ($1.7M) for missing documentation or authorizations.</t>
  </si>
  <si>
    <t>7. Collection Rate: 56.2% rate indicates improvement opportunity via denial management and AR follow-up.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</si>
</sst>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5" xfId="0" applyBorder="1"/>
    <xf numFmtId="164" fontId="0" fillId="0" borderId="5" xfId="0" applyNumberFormat="1" applyBorder="1"/>
    <xf numFmtId="0" fontId="2" fillId="3" borderId="5" xfId="0" applyFont="1" applyFill="1" applyBorder="1"/>
    <xf numFmtId="0" fontId="2" fillId="3" borderId="6" xfId="0" applyFont="1" applyFill="1" applyBorder="1"/>
    <xf numFmtId="166" fontId="0" fillId="0" borderId="5" xfId="0" applyNumberFormat="1" applyBorder="1"/>
    <xf numFmtId="165" fontId="0" fillId="0" borderId="6" xfId="0" applyNumberFormat="1" applyBorder="1"/>
    <xf numFmtId="165" fontId="0" fillId="0" borderId="5" xfId="0" applyNumberFormat="1" applyBorder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9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10" xfId="0" applyFill="1" applyBorder="1"/>
    <xf numFmtId="0" fontId="0" fillId="4" borderId="3" xfId="0" applyFill="1" applyBorder="1"/>
    <xf numFmtId="0" fontId="2" fillId="4" borderId="8" xfId="0" applyFont="1" applyFill="1" applyBorder="1"/>
    <xf numFmtId="0" fontId="2" fillId="4" borderId="9" xfId="0" applyFont="1" applyFill="1" applyBorder="1"/>
    <xf numFmtId="164" fontId="0" fillId="4" borderId="0" xfId="0" applyNumberFormat="1" applyFill="1"/>
    <xf numFmtId="0" fontId="0" fillId="5" borderId="0" xfId="0" applyFill="1"/>
    <xf numFmtId="0" fontId="0" fillId="5" borderId="1" xfId="0" applyFill="1" applyBorder="1"/>
    <xf numFmtId="0" fontId="0" fillId="5" borderId="9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3" xfId="0" applyFill="1" applyBorder="1"/>
    <xf numFmtId="0" fontId="5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Charges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'Analysis Dashboard'!$A$13:$A$19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  <c:pt idx="6">
                  <c:v>Radiology</c:v>
                </c:pt>
              </c:strCache>
            </c:strRef>
          </c:cat>
          <c:val>
            <c:numRef>
              <c:f>'Analysis Dashboard'!$C$13:$C$19</c:f>
              <c:numCache>
                <c:formatCode>"$"#,##0</c:formatCode>
                <c:ptCount val="7"/>
                <c:pt idx="0">
                  <c:v>2979631</c:v>
                </c:pt>
                <c:pt idx="1">
                  <c:v>3123139</c:v>
                </c:pt>
                <c:pt idx="2">
                  <c:v>2645101</c:v>
                </c:pt>
                <c:pt idx="3">
                  <c:v>2602497</c:v>
                </c:pt>
                <c:pt idx="4">
                  <c:v>2807805</c:v>
                </c:pt>
                <c:pt idx="5">
                  <c:v>2488184</c:v>
                </c:pt>
                <c:pt idx="6">
                  <c:v>2622220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3-4467-86EB-7BD21C180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83551"/>
        <c:axId val="68684031"/>
      </c:barChart>
      <c:catAx>
        <c:axId val="6868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4031"/>
        <c:crosses val="autoZero"/>
        <c:auto val="1"/>
        <c:lblAlgn val="ctr"/>
        <c:lblOffset val="100"/>
        <c:noMultiLvlLbl val="0"/>
      </c:catAx>
      <c:valAx>
        <c:axId val="686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355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07-40B1-9464-97FC8C80A1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07-40B1-9464-97FC8C80A1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07-40B1-9464-97FC8C80A1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07-40B1-9464-97FC8C80A1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Dashboard'!$G$13:$G$16</c:f>
              <c:strCache>
                <c:ptCount val="4"/>
                <c:pt idx="0">
                  <c:v>Paid</c:v>
                </c:pt>
                <c:pt idx="1">
                  <c:v>Partial</c:v>
                </c:pt>
                <c:pt idx="2">
                  <c:v>Pending</c:v>
                </c:pt>
                <c:pt idx="3">
                  <c:v>Denied</c:v>
                </c:pt>
              </c:strCache>
            </c:strRef>
          </c:cat>
          <c:val>
            <c:numRef>
              <c:f>'Analysis Dashboard'!$H$13:$H$16</c:f>
              <c:numCache>
                <c:formatCode>General</c:formatCode>
                <c:ptCount val="4"/>
                <c:pt idx="0">
                  <c:v>911</c:v>
                </c:pt>
                <c:pt idx="1">
                  <c:v>310</c:v>
                </c:pt>
                <c:pt idx="2">
                  <c:v>128</c:v>
                </c:pt>
                <c:pt idx="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8-4966-BAA0-F97E3F95F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Denial Rate by Insurance Payer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55A1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Dashboard'!$A$23:$A$29</c:f>
              <c:strCache>
                <c:ptCount val="7"/>
                <c:pt idx="0">
                  <c:v>Medicare</c:v>
                </c:pt>
                <c:pt idx="1">
                  <c:v>Medicaid</c:v>
                </c:pt>
                <c:pt idx="2">
                  <c:v>Cigna</c:v>
                </c:pt>
                <c:pt idx="3">
                  <c:v>Blue Cross</c:v>
                </c:pt>
                <c:pt idx="4">
                  <c:v>Aetna</c:v>
                </c:pt>
                <c:pt idx="5">
                  <c:v>UnitedHealthcare</c:v>
                </c:pt>
                <c:pt idx="6">
                  <c:v>Self-Pay</c:v>
                </c:pt>
              </c:strCache>
            </c:strRef>
          </c:cat>
          <c:val>
            <c:numRef>
              <c:f>'Analysis Dashboard'!$F$23:$F$29</c:f>
              <c:numCache>
                <c:formatCode>0.0%</c:formatCode>
                <c:ptCount val="7"/>
                <c:pt idx="0">
                  <c:v>9.7674418604651161E-2</c:v>
                </c:pt>
                <c:pt idx="1">
                  <c:v>0.11792452830188679</c:v>
                </c:pt>
                <c:pt idx="2">
                  <c:v>0.14220183486238533</c:v>
                </c:pt>
                <c:pt idx="3">
                  <c:v>9.5454545454545459E-2</c:v>
                </c:pt>
                <c:pt idx="4">
                  <c:v>9.5238095238095233E-2</c:v>
                </c:pt>
                <c:pt idx="5">
                  <c:v>7.7253218884120178E-2</c:v>
                </c:pt>
                <c:pt idx="6">
                  <c:v>7.8125E-2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4-4BF5-8B85-418FF98A8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06063"/>
        <c:axId val="92804623"/>
      </c:barChart>
      <c:catAx>
        <c:axId val="9280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4623"/>
        <c:crosses val="autoZero"/>
        <c:auto val="1"/>
        <c:lblAlgn val="ctr"/>
        <c:lblOffset val="100"/>
        <c:noMultiLvlLbl val="0"/>
      </c:catAx>
      <c:valAx>
        <c:axId val="9280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60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in AR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Dashboard'!$A$13:$A$19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  <c:pt idx="6">
                  <c:v>Radiology</c:v>
                </c:pt>
              </c:strCache>
            </c:strRef>
          </c:cat>
          <c:val>
            <c:numRef>
              <c:f>'Analysis Dashboard'!$E$13:$E$19</c:f>
              <c:numCache>
                <c:formatCode>0.0</c:formatCode>
                <c:ptCount val="7"/>
                <c:pt idx="0">
                  <c:v>93.395652173913049</c:v>
                </c:pt>
                <c:pt idx="1">
                  <c:v>90.512500000000003</c:v>
                </c:pt>
                <c:pt idx="2">
                  <c:v>90.398963730569946</c:v>
                </c:pt>
                <c:pt idx="3">
                  <c:v>86.572164948453604</c:v>
                </c:pt>
                <c:pt idx="4">
                  <c:v>82.748858447488587</c:v>
                </c:pt>
                <c:pt idx="5">
                  <c:v>91.60189573459715</c:v>
                </c:pt>
                <c:pt idx="6">
                  <c:v>90.629107981220656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4-4F5A-8C02-A777DEA4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31039"/>
        <c:axId val="82731999"/>
      </c:barChart>
      <c:catAx>
        <c:axId val="8273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1999"/>
        <c:crosses val="autoZero"/>
        <c:auto val="1"/>
        <c:lblAlgn val="ctr"/>
        <c:lblOffset val="100"/>
        <c:noMultiLvlLbl val="0"/>
      </c:catAx>
      <c:valAx>
        <c:axId val="8273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103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 Balance by Aging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'Analysis Dashboard'!$A$67:$A$71</c:f>
              <c:strCache>
                <c:ptCount val="5"/>
                <c:pt idx="0">
                  <c:v>0-30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91-120 Days</c:v>
                </c:pt>
                <c:pt idx="4">
                  <c:v>&gt;120 Days</c:v>
                </c:pt>
              </c:strCache>
            </c:strRef>
          </c:cat>
          <c:val>
            <c:numRef>
              <c:f>'Analysis Dashboard'!$C$67:$C$71</c:f>
              <c:numCache>
                <c:formatCode>"$"#,##0</c:formatCode>
                <c:ptCount val="5"/>
                <c:pt idx="0">
                  <c:v>1611313.0000000005</c:v>
                </c:pt>
                <c:pt idx="1">
                  <c:v>1298319.6599999999</c:v>
                </c:pt>
                <c:pt idx="2">
                  <c:v>1493897.9300000004</c:v>
                </c:pt>
                <c:pt idx="3">
                  <c:v>1252929.3299999996</c:v>
                </c:pt>
                <c:pt idx="4">
                  <c:v>2791873.0400000005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0-47F6-B8BA-06A966A58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66607"/>
        <c:axId val="108766127"/>
      </c:barChart>
      <c:catAx>
        <c:axId val="10876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6127"/>
        <c:crosses val="autoZero"/>
        <c:auto val="1"/>
        <c:lblAlgn val="ctr"/>
        <c:lblOffset val="100"/>
        <c:noMultiLvlLbl val="0"/>
      </c:catAx>
      <c:valAx>
        <c:axId val="10876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660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8A881-7D8C-4BE8-F974-4CE29C55E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0F866-211E-79FA-4F0E-6FD189233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6</xdr:col>
      <xdr:colOff>0</xdr:colOff>
      <xdr:row>63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13882-EA30-7D6B-FBD5-E48E1D5D1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47</xdr:row>
      <xdr:rowOff>0</xdr:rowOff>
    </xdr:from>
    <xdr:to>
      <xdr:col>12</xdr:col>
      <xdr:colOff>0</xdr:colOff>
      <xdr:row>63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179A7F-6426-D0FB-7112-066249B41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64</xdr:row>
      <xdr:rowOff>0</xdr:rowOff>
    </xdr:from>
    <xdr:to>
      <xdr:col>12</xdr:col>
      <xdr:colOff>0</xdr:colOff>
      <xdr:row>78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372120-DBB6-ADF1-07D3-8D37376FC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tabSelected="1" topLeftCell="A31" workbookViewId="0"/>
  </sheetViews>
  <sheetFormatPr defaultRowHeight="14.5" x14ac:dyDescent="0.35"/>
  <cols>
    <col min="2" max="2" width="10.90625" customWidth="1"/>
    <col min="3" max="3" width="11.1796875" customWidth="1"/>
    <col min="4" max="4" width="12.36328125" customWidth="1"/>
    <col min="5" max="5" width="9.6328125" customWidth="1"/>
    <col min="6" max="6" width="9.7265625" customWidth="1"/>
    <col min="7" max="7" width="11.1796875" customWidth="1"/>
    <col min="8" max="8" width="9.6328125" customWidth="1"/>
    <col min="9" max="9" width="10.54296875" customWidth="1"/>
    <col min="10" max="10" width="9.7265625" customWidth="1"/>
    <col min="11" max="11" width="9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100001</v>
      </c>
      <c r="B2">
        <v>40644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15957</v>
      </c>
      <c r="I2">
        <v>14641.29</v>
      </c>
      <c r="J2">
        <v>14641.29</v>
      </c>
      <c r="K2">
        <v>1315.71</v>
      </c>
      <c r="L2">
        <v>1315.71</v>
      </c>
      <c r="M2" t="s">
        <v>19</v>
      </c>
      <c r="N2">
        <v>122</v>
      </c>
    </row>
    <row r="3" spans="1:14" x14ac:dyDescent="0.35">
      <c r="A3">
        <v>100002</v>
      </c>
      <c r="B3">
        <v>89878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14736</v>
      </c>
      <c r="I3">
        <v>10242.6</v>
      </c>
      <c r="J3">
        <v>10242.6</v>
      </c>
      <c r="K3">
        <v>4493.3999999999996</v>
      </c>
      <c r="L3">
        <v>4493.3999999999996</v>
      </c>
      <c r="M3" t="s">
        <v>19</v>
      </c>
      <c r="N3">
        <v>62</v>
      </c>
    </row>
    <row r="4" spans="1:14" x14ac:dyDescent="0.35">
      <c r="A4">
        <v>100003</v>
      </c>
      <c r="B4">
        <v>70490</v>
      </c>
      <c r="C4" t="s">
        <v>25</v>
      </c>
      <c r="D4" t="s">
        <v>15</v>
      </c>
      <c r="E4" t="s">
        <v>26</v>
      </c>
      <c r="F4" t="s">
        <v>27</v>
      </c>
      <c r="G4" t="s">
        <v>28</v>
      </c>
      <c r="H4">
        <v>8055</v>
      </c>
      <c r="I4">
        <v>5287.06</v>
      </c>
      <c r="J4">
        <v>5287.06</v>
      </c>
      <c r="K4">
        <v>2767.94</v>
      </c>
      <c r="L4">
        <v>2767.94</v>
      </c>
      <c r="M4" t="s">
        <v>19</v>
      </c>
      <c r="N4">
        <v>115</v>
      </c>
    </row>
    <row r="5" spans="1:14" x14ac:dyDescent="0.35">
      <c r="A5">
        <v>100004</v>
      </c>
      <c r="B5">
        <v>44314</v>
      </c>
      <c r="C5" t="s">
        <v>29</v>
      </c>
      <c r="D5" t="s">
        <v>30</v>
      </c>
      <c r="E5" t="s">
        <v>31</v>
      </c>
      <c r="F5" t="s">
        <v>32</v>
      </c>
      <c r="G5" t="s">
        <v>18</v>
      </c>
      <c r="H5">
        <v>18823</v>
      </c>
      <c r="I5">
        <v>16569.939999999999</v>
      </c>
      <c r="J5">
        <v>16569.939999999999</v>
      </c>
      <c r="K5">
        <v>2253.06</v>
      </c>
      <c r="L5">
        <v>2253.06</v>
      </c>
      <c r="M5" t="s">
        <v>19</v>
      </c>
      <c r="N5">
        <v>84</v>
      </c>
    </row>
    <row r="6" spans="1:14" x14ac:dyDescent="0.35">
      <c r="A6">
        <v>100005</v>
      </c>
      <c r="B6">
        <v>71007</v>
      </c>
      <c r="C6" t="s">
        <v>33</v>
      </c>
      <c r="D6" t="s">
        <v>34</v>
      </c>
      <c r="E6" t="s">
        <v>16</v>
      </c>
      <c r="F6" t="s">
        <v>35</v>
      </c>
      <c r="G6" t="s">
        <v>24</v>
      </c>
      <c r="H6">
        <v>5823</v>
      </c>
      <c r="I6">
        <v>3651.72</v>
      </c>
      <c r="J6">
        <v>3651.72</v>
      </c>
      <c r="K6">
        <v>2171.2800000000002</v>
      </c>
      <c r="L6">
        <v>2171.2800000000002</v>
      </c>
      <c r="M6" t="s">
        <v>19</v>
      </c>
      <c r="N6">
        <v>6</v>
      </c>
    </row>
    <row r="7" spans="1:14" x14ac:dyDescent="0.35">
      <c r="A7">
        <v>100006</v>
      </c>
      <c r="B7">
        <v>32982</v>
      </c>
      <c r="C7" t="s">
        <v>36</v>
      </c>
      <c r="D7" t="s">
        <v>34</v>
      </c>
      <c r="E7" t="s">
        <v>37</v>
      </c>
      <c r="F7" t="s">
        <v>27</v>
      </c>
      <c r="G7" t="s">
        <v>38</v>
      </c>
      <c r="H7">
        <v>16100</v>
      </c>
      <c r="I7">
        <v>11924.47</v>
      </c>
      <c r="J7">
        <v>8688.69</v>
      </c>
      <c r="K7">
        <v>4175.53</v>
      </c>
      <c r="L7">
        <v>7411.31</v>
      </c>
      <c r="M7" t="s">
        <v>39</v>
      </c>
      <c r="N7">
        <v>28</v>
      </c>
    </row>
    <row r="8" spans="1:14" x14ac:dyDescent="0.35">
      <c r="A8">
        <v>100007</v>
      </c>
      <c r="B8">
        <v>80947</v>
      </c>
      <c r="C8" t="s">
        <v>40</v>
      </c>
      <c r="D8" t="s">
        <v>21</v>
      </c>
      <c r="E8" t="s">
        <v>41</v>
      </c>
      <c r="F8" t="s">
        <v>23</v>
      </c>
      <c r="G8" t="s">
        <v>28</v>
      </c>
      <c r="H8">
        <v>16754</v>
      </c>
      <c r="I8">
        <v>15568.24</v>
      </c>
      <c r="J8">
        <v>11046.58</v>
      </c>
      <c r="K8">
        <v>1185.76</v>
      </c>
      <c r="L8">
        <v>5707.42</v>
      </c>
      <c r="M8" t="s">
        <v>39</v>
      </c>
      <c r="N8">
        <v>111</v>
      </c>
    </row>
    <row r="9" spans="1:14" x14ac:dyDescent="0.35">
      <c r="A9">
        <v>100008</v>
      </c>
      <c r="B9">
        <v>45480</v>
      </c>
      <c r="C9" t="s">
        <v>42</v>
      </c>
      <c r="D9" t="s">
        <v>21</v>
      </c>
      <c r="E9" t="s">
        <v>43</v>
      </c>
      <c r="F9" t="s">
        <v>44</v>
      </c>
      <c r="G9" t="s">
        <v>45</v>
      </c>
      <c r="H9">
        <v>24179</v>
      </c>
      <c r="I9">
        <v>22396.5</v>
      </c>
      <c r="J9">
        <v>22396.5</v>
      </c>
      <c r="K9">
        <v>1782.5</v>
      </c>
      <c r="L9">
        <v>1782.5</v>
      </c>
      <c r="M9" t="s">
        <v>19</v>
      </c>
      <c r="N9">
        <v>114</v>
      </c>
    </row>
    <row r="10" spans="1:14" x14ac:dyDescent="0.35">
      <c r="A10">
        <v>100009</v>
      </c>
      <c r="B10">
        <v>21441</v>
      </c>
      <c r="C10" t="s">
        <v>46</v>
      </c>
      <c r="D10" t="s">
        <v>34</v>
      </c>
      <c r="E10" t="s">
        <v>41</v>
      </c>
      <c r="F10" t="s">
        <v>44</v>
      </c>
      <c r="G10" t="s">
        <v>47</v>
      </c>
      <c r="H10">
        <v>7314</v>
      </c>
      <c r="I10">
        <v>6344.74</v>
      </c>
      <c r="J10">
        <v>6344.74</v>
      </c>
      <c r="K10">
        <v>969.26</v>
      </c>
      <c r="L10">
        <v>969.26</v>
      </c>
      <c r="M10" t="s">
        <v>19</v>
      </c>
      <c r="N10">
        <v>15</v>
      </c>
    </row>
    <row r="11" spans="1:14" x14ac:dyDescent="0.35">
      <c r="A11">
        <v>100010</v>
      </c>
      <c r="B11">
        <v>22090</v>
      </c>
      <c r="C11" t="s">
        <v>48</v>
      </c>
      <c r="D11" t="s">
        <v>49</v>
      </c>
      <c r="E11" t="s">
        <v>26</v>
      </c>
      <c r="F11" t="s">
        <v>27</v>
      </c>
      <c r="G11" t="s">
        <v>24</v>
      </c>
      <c r="H11">
        <v>4316</v>
      </c>
      <c r="I11">
        <v>3555.91</v>
      </c>
      <c r="J11">
        <v>346.92</v>
      </c>
      <c r="K11">
        <v>760.09</v>
      </c>
      <c r="L11">
        <v>3969.08</v>
      </c>
      <c r="M11" t="s">
        <v>50</v>
      </c>
      <c r="N11">
        <v>61</v>
      </c>
    </row>
    <row r="12" spans="1:14" x14ac:dyDescent="0.35">
      <c r="A12">
        <v>100011</v>
      </c>
      <c r="B12">
        <v>83129</v>
      </c>
      <c r="C12" t="s">
        <v>51</v>
      </c>
      <c r="D12" t="s">
        <v>52</v>
      </c>
      <c r="E12" t="s">
        <v>31</v>
      </c>
      <c r="F12" t="s">
        <v>23</v>
      </c>
      <c r="G12" t="s">
        <v>24</v>
      </c>
      <c r="H12">
        <v>15407</v>
      </c>
      <c r="I12">
        <v>9208.5300000000007</v>
      </c>
      <c r="J12">
        <v>9208.5300000000007</v>
      </c>
      <c r="K12">
        <v>6198.47</v>
      </c>
      <c r="L12">
        <v>6198.47</v>
      </c>
      <c r="M12" t="s">
        <v>19</v>
      </c>
      <c r="N12">
        <v>172</v>
      </c>
    </row>
    <row r="13" spans="1:14" x14ac:dyDescent="0.35">
      <c r="A13">
        <v>100012</v>
      </c>
      <c r="B13">
        <v>94314</v>
      </c>
      <c r="C13" t="s">
        <v>53</v>
      </c>
      <c r="D13" t="s">
        <v>34</v>
      </c>
      <c r="E13" t="s">
        <v>22</v>
      </c>
      <c r="F13" t="s">
        <v>54</v>
      </c>
      <c r="G13" t="s">
        <v>18</v>
      </c>
      <c r="H13">
        <v>20541</v>
      </c>
      <c r="I13">
        <v>16529.580000000002</v>
      </c>
      <c r="J13">
        <v>10805.04</v>
      </c>
      <c r="K13">
        <v>4011.42</v>
      </c>
      <c r="L13">
        <v>9735.9599999999991</v>
      </c>
      <c r="M13" t="s">
        <v>39</v>
      </c>
      <c r="N13">
        <v>31</v>
      </c>
    </row>
    <row r="14" spans="1:14" x14ac:dyDescent="0.35">
      <c r="A14">
        <v>100013</v>
      </c>
      <c r="B14">
        <v>82374</v>
      </c>
      <c r="C14" t="s">
        <v>55</v>
      </c>
      <c r="D14" t="s">
        <v>49</v>
      </c>
      <c r="E14" t="s">
        <v>56</v>
      </c>
      <c r="F14" t="s">
        <v>54</v>
      </c>
      <c r="G14" t="s">
        <v>18</v>
      </c>
      <c r="H14">
        <v>21922</v>
      </c>
      <c r="I14">
        <v>20633.21</v>
      </c>
      <c r="J14">
        <v>20633.21</v>
      </c>
      <c r="K14">
        <v>1288.79</v>
      </c>
      <c r="L14">
        <v>1288.79</v>
      </c>
      <c r="M14" t="s">
        <v>19</v>
      </c>
      <c r="N14">
        <v>86</v>
      </c>
    </row>
    <row r="15" spans="1:14" x14ac:dyDescent="0.35">
      <c r="A15">
        <v>100014</v>
      </c>
      <c r="B15">
        <v>49676</v>
      </c>
      <c r="C15" t="s">
        <v>57</v>
      </c>
      <c r="D15" t="s">
        <v>21</v>
      </c>
      <c r="E15" t="s">
        <v>16</v>
      </c>
      <c r="F15" t="s">
        <v>44</v>
      </c>
      <c r="G15" t="s">
        <v>47</v>
      </c>
      <c r="H15">
        <v>23264</v>
      </c>
      <c r="I15">
        <v>18968.04</v>
      </c>
      <c r="J15">
        <v>18968.04</v>
      </c>
      <c r="K15">
        <v>4295.96</v>
      </c>
      <c r="L15">
        <v>4295.96</v>
      </c>
      <c r="M15" t="s">
        <v>19</v>
      </c>
      <c r="N15">
        <v>166</v>
      </c>
    </row>
    <row r="16" spans="1:14" x14ac:dyDescent="0.35">
      <c r="A16">
        <v>100015</v>
      </c>
      <c r="B16">
        <v>52594</v>
      </c>
      <c r="C16" t="s">
        <v>58</v>
      </c>
      <c r="D16" t="s">
        <v>30</v>
      </c>
      <c r="E16" t="s">
        <v>41</v>
      </c>
      <c r="F16" t="s">
        <v>17</v>
      </c>
      <c r="G16" t="s">
        <v>28</v>
      </c>
      <c r="H16">
        <v>15640</v>
      </c>
      <c r="I16">
        <v>14301.73</v>
      </c>
      <c r="J16">
        <v>440</v>
      </c>
      <c r="K16">
        <v>1338.27</v>
      </c>
      <c r="L16">
        <v>15200</v>
      </c>
      <c r="M16" t="s">
        <v>50</v>
      </c>
      <c r="N16">
        <v>90</v>
      </c>
    </row>
    <row r="17" spans="1:14" x14ac:dyDescent="0.35">
      <c r="A17">
        <v>100016</v>
      </c>
      <c r="B17">
        <v>42769</v>
      </c>
      <c r="C17" t="s">
        <v>59</v>
      </c>
      <c r="D17" t="s">
        <v>30</v>
      </c>
      <c r="E17" t="s">
        <v>26</v>
      </c>
      <c r="F17" t="s">
        <v>44</v>
      </c>
      <c r="G17" t="s">
        <v>47</v>
      </c>
      <c r="H17">
        <v>13687</v>
      </c>
      <c r="I17">
        <v>8785.08</v>
      </c>
      <c r="J17">
        <v>8785.08</v>
      </c>
      <c r="K17">
        <v>4901.92</v>
      </c>
      <c r="L17">
        <v>4901.92</v>
      </c>
      <c r="M17" t="s">
        <v>19</v>
      </c>
      <c r="N17">
        <v>143</v>
      </c>
    </row>
    <row r="18" spans="1:14" x14ac:dyDescent="0.35">
      <c r="A18">
        <v>100017</v>
      </c>
      <c r="B18">
        <v>85665</v>
      </c>
      <c r="C18" t="s">
        <v>60</v>
      </c>
      <c r="D18" t="s">
        <v>52</v>
      </c>
      <c r="E18" t="s">
        <v>37</v>
      </c>
      <c r="F18" t="s">
        <v>61</v>
      </c>
      <c r="G18" t="s">
        <v>28</v>
      </c>
      <c r="H18">
        <v>11394</v>
      </c>
      <c r="I18">
        <v>7452.64</v>
      </c>
      <c r="J18">
        <v>0</v>
      </c>
      <c r="K18">
        <v>3941.36</v>
      </c>
      <c r="L18">
        <v>11394</v>
      </c>
      <c r="M18" t="s">
        <v>62</v>
      </c>
      <c r="N18">
        <v>105</v>
      </c>
    </row>
    <row r="19" spans="1:14" x14ac:dyDescent="0.35">
      <c r="A19">
        <v>100018</v>
      </c>
      <c r="B19">
        <v>48991</v>
      </c>
      <c r="C19" t="s">
        <v>48</v>
      </c>
      <c r="D19" t="s">
        <v>49</v>
      </c>
      <c r="E19" t="s">
        <v>43</v>
      </c>
      <c r="F19" t="s">
        <v>54</v>
      </c>
      <c r="G19" t="s">
        <v>28</v>
      </c>
      <c r="H19">
        <v>23809</v>
      </c>
      <c r="I19">
        <v>14560.07</v>
      </c>
      <c r="J19">
        <v>2290.02</v>
      </c>
      <c r="K19">
        <v>9248.93</v>
      </c>
      <c r="L19">
        <v>21518.98</v>
      </c>
      <c r="M19" t="s">
        <v>50</v>
      </c>
      <c r="N19">
        <v>138</v>
      </c>
    </row>
    <row r="20" spans="1:14" x14ac:dyDescent="0.35">
      <c r="A20">
        <v>100019</v>
      </c>
      <c r="B20">
        <v>43449</v>
      </c>
      <c r="C20" t="s">
        <v>63</v>
      </c>
      <c r="D20" t="s">
        <v>30</v>
      </c>
      <c r="E20" t="s">
        <v>41</v>
      </c>
      <c r="F20" t="s">
        <v>32</v>
      </c>
      <c r="G20" t="s">
        <v>47</v>
      </c>
      <c r="H20">
        <v>6922</v>
      </c>
      <c r="I20">
        <v>3867.69</v>
      </c>
      <c r="J20">
        <v>3867.69</v>
      </c>
      <c r="K20">
        <v>3054.31</v>
      </c>
      <c r="L20">
        <v>3054.31</v>
      </c>
      <c r="M20" t="s">
        <v>19</v>
      </c>
      <c r="N20">
        <v>151</v>
      </c>
    </row>
    <row r="21" spans="1:14" x14ac:dyDescent="0.35">
      <c r="A21">
        <v>100020</v>
      </c>
      <c r="B21">
        <v>96409</v>
      </c>
      <c r="C21" t="s">
        <v>64</v>
      </c>
      <c r="D21" t="s">
        <v>65</v>
      </c>
      <c r="E21" t="s">
        <v>16</v>
      </c>
      <c r="F21" t="s">
        <v>23</v>
      </c>
      <c r="G21" t="s">
        <v>38</v>
      </c>
      <c r="H21">
        <v>12674</v>
      </c>
      <c r="I21">
        <v>7972.11</v>
      </c>
      <c r="J21">
        <v>7972.11</v>
      </c>
      <c r="K21">
        <v>4701.8900000000003</v>
      </c>
      <c r="L21">
        <v>4701.8900000000003</v>
      </c>
      <c r="M21" t="s">
        <v>19</v>
      </c>
      <c r="N21">
        <v>72</v>
      </c>
    </row>
    <row r="22" spans="1:14" x14ac:dyDescent="0.35">
      <c r="A22">
        <v>100021</v>
      </c>
      <c r="B22">
        <v>21576</v>
      </c>
      <c r="C22" t="s">
        <v>66</v>
      </c>
      <c r="D22" t="s">
        <v>30</v>
      </c>
      <c r="E22" t="s">
        <v>41</v>
      </c>
      <c r="F22" t="s">
        <v>61</v>
      </c>
      <c r="G22" t="s">
        <v>45</v>
      </c>
      <c r="H22">
        <v>20443</v>
      </c>
      <c r="I22">
        <v>15114</v>
      </c>
      <c r="J22">
        <v>11371.87</v>
      </c>
      <c r="K22">
        <v>5329</v>
      </c>
      <c r="L22">
        <v>9071.1299999999992</v>
      </c>
      <c r="M22" t="s">
        <v>39</v>
      </c>
      <c r="N22">
        <v>163</v>
      </c>
    </row>
    <row r="23" spans="1:14" x14ac:dyDescent="0.35">
      <c r="A23">
        <v>100022</v>
      </c>
      <c r="B23">
        <v>75853</v>
      </c>
      <c r="C23" t="s">
        <v>67</v>
      </c>
      <c r="D23" t="s">
        <v>52</v>
      </c>
      <c r="E23" t="s">
        <v>43</v>
      </c>
      <c r="F23" t="s">
        <v>27</v>
      </c>
      <c r="G23" t="s">
        <v>28</v>
      </c>
      <c r="H23">
        <v>17104</v>
      </c>
      <c r="I23">
        <v>15784.25</v>
      </c>
      <c r="J23">
        <v>10415.959999999999</v>
      </c>
      <c r="K23">
        <v>1319.75</v>
      </c>
      <c r="L23">
        <v>6688.04</v>
      </c>
      <c r="M23" t="s">
        <v>39</v>
      </c>
      <c r="N23">
        <v>134</v>
      </c>
    </row>
    <row r="24" spans="1:14" x14ac:dyDescent="0.35">
      <c r="A24">
        <v>100023</v>
      </c>
      <c r="B24">
        <v>80913</v>
      </c>
      <c r="C24" t="s">
        <v>68</v>
      </c>
      <c r="D24" t="s">
        <v>65</v>
      </c>
      <c r="E24" t="s">
        <v>41</v>
      </c>
      <c r="F24" t="s">
        <v>54</v>
      </c>
      <c r="G24" t="s">
        <v>47</v>
      </c>
      <c r="H24">
        <v>13364</v>
      </c>
      <c r="I24">
        <v>7990.83</v>
      </c>
      <c r="J24">
        <v>7990.83</v>
      </c>
      <c r="K24">
        <v>5373.17</v>
      </c>
      <c r="L24">
        <v>5373.17</v>
      </c>
      <c r="M24" t="s">
        <v>19</v>
      </c>
      <c r="N24">
        <v>27</v>
      </c>
    </row>
    <row r="25" spans="1:14" x14ac:dyDescent="0.35">
      <c r="A25">
        <v>100024</v>
      </c>
      <c r="B25">
        <v>37798</v>
      </c>
      <c r="C25" t="s">
        <v>69</v>
      </c>
      <c r="D25" t="s">
        <v>30</v>
      </c>
      <c r="E25" t="s">
        <v>43</v>
      </c>
      <c r="F25" t="s">
        <v>32</v>
      </c>
      <c r="G25" t="s">
        <v>38</v>
      </c>
      <c r="H25">
        <v>15617</v>
      </c>
      <c r="I25">
        <v>11373.2</v>
      </c>
      <c r="J25">
        <v>11373.2</v>
      </c>
      <c r="K25">
        <v>4243.8</v>
      </c>
      <c r="L25">
        <v>4243.8</v>
      </c>
      <c r="M25" t="s">
        <v>19</v>
      </c>
      <c r="N25">
        <v>138</v>
      </c>
    </row>
    <row r="26" spans="1:14" x14ac:dyDescent="0.35">
      <c r="A26">
        <v>100025</v>
      </c>
      <c r="B26">
        <v>91566</v>
      </c>
      <c r="C26" t="s">
        <v>70</v>
      </c>
      <c r="D26" t="s">
        <v>15</v>
      </c>
      <c r="E26" t="s">
        <v>56</v>
      </c>
      <c r="F26" t="s">
        <v>44</v>
      </c>
      <c r="G26" t="s">
        <v>38</v>
      </c>
      <c r="H26">
        <v>12208</v>
      </c>
      <c r="I26">
        <v>8970.82</v>
      </c>
      <c r="J26">
        <v>8970.82</v>
      </c>
      <c r="K26">
        <v>3237.18</v>
      </c>
      <c r="L26">
        <v>3237.18</v>
      </c>
      <c r="M26" t="s">
        <v>19</v>
      </c>
      <c r="N26">
        <v>115</v>
      </c>
    </row>
    <row r="27" spans="1:14" x14ac:dyDescent="0.35">
      <c r="A27">
        <v>100026</v>
      </c>
      <c r="B27">
        <v>74861</v>
      </c>
      <c r="C27" t="s">
        <v>71</v>
      </c>
      <c r="D27" t="s">
        <v>52</v>
      </c>
      <c r="E27" t="s">
        <v>56</v>
      </c>
      <c r="F27" t="s">
        <v>54</v>
      </c>
      <c r="G27" t="s">
        <v>72</v>
      </c>
      <c r="H27">
        <v>13077</v>
      </c>
      <c r="I27">
        <v>12204.6</v>
      </c>
      <c r="J27">
        <v>554.17999999999995</v>
      </c>
      <c r="K27">
        <v>872.4</v>
      </c>
      <c r="L27">
        <v>12522.82</v>
      </c>
      <c r="M27" t="s">
        <v>50</v>
      </c>
      <c r="N27">
        <v>142</v>
      </c>
    </row>
    <row r="28" spans="1:14" x14ac:dyDescent="0.35">
      <c r="A28">
        <v>100027</v>
      </c>
      <c r="B28">
        <v>98167</v>
      </c>
      <c r="C28" t="s">
        <v>73</v>
      </c>
      <c r="D28" t="s">
        <v>21</v>
      </c>
      <c r="E28" t="s">
        <v>41</v>
      </c>
      <c r="F28" t="s">
        <v>23</v>
      </c>
      <c r="G28" t="s">
        <v>72</v>
      </c>
      <c r="H28">
        <v>19374</v>
      </c>
      <c r="I28">
        <v>12489.56</v>
      </c>
      <c r="J28">
        <v>8843.7900000000009</v>
      </c>
      <c r="K28">
        <v>6884.44</v>
      </c>
      <c r="L28">
        <v>10530.21</v>
      </c>
      <c r="M28" t="s">
        <v>39</v>
      </c>
      <c r="N28">
        <v>103</v>
      </c>
    </row>
    <row r="29" spans="1:14" x14ac:dyDescent="0.35">
      <c r="A29">
        <v>100028</v>
      </c>
      <c r="B29">
        <v>28077</v>
      </c>
      <c r="C29" t="s">
        <v>74</v>
      </c>
      <c r="D29" t="s">
        <v>15</v>
      </c>
      <c r="E29" t="s">
        <v>43</v>
      </c>
      <c r="F29" t="s">
        <v>27</v>
      </c>
      <c r="G29" t="s">
        <v>45</v>
      </c>
      <c r="H29">
        <v>17093</v>
      </c>
      <c r="I29">
        <v>15756.02</v>
      </c>
      <c r="J29">
        <v>15756.02</v>
      </c>
      <c r="K29">
        <v>1336.98</v>
      </c>
      <c r="L29">
        <v>1336.98</v>
      </c>
      <c r="M29" t="s">
        <v>19</v>
      </c>
      <c r="N29">
        <v>7</v>
      </c>
    </row>
    <row r="30" spans="1:14" x14ac:dyDescent="0.35">
      <c r="A30">
        <v>100029</v>
      </c>
      <c r="B30">
        <v>57087</v>
      </c>
      <c r="C30" t="s">
        <v>75</v>
      </c>
      <c r="D30" t="s">
        <v>34</v>
      </c>
      <c r="E30" t="s">
        <v>41</v>
      </c>
      <c r="F30" t="s">
        <v>23</v>
      </c>
      <c r="G30" t="s">
        <v>72</v>
      </c>
      <c r="H30">
        <v>18591</v>
      </c>
      <c r="I30">
        <v>14061.07</v>
      </c>
      <c r="J30">
        <v>0</v>
      </c>
      <c r="K30">
        <v>4529.93</v>
      </c>
      <c r="L30">
        <v>18591</v>
      </c>
      <c r="M30" t="s">
        <v>62</v>
      </c>
      <c r="N30">
        <v>176</v>
      </c>
    </row>
    <row r="31" spans="1:14" x14ac:dyDescent="0.35">
      <c r="A31">
        <v>100030</v>
      </c>
      <c r="B31">
        <v>50468</v>
      </c>
      <c r="C31" t="s">
        <v>76</v>
      </c>
      <c r="D31" t="s">
        <v>30</v>
      </c>
      <c r="E31" t="s">
        <v>41</v>
      </c>
      <c r="F31" t="s">
        <v>54</v>
      </c>
      <c r="G31" t="s">
        <v>45</v>
      </c>
      <c r="H31">
        <v>1469</v>
      </c>
      <c r="I31">
        <v>985.44</v>
      </c>
      <c r="J31">
        <v>985.44</v>
      </c>
      <c r="K31">
        <v>483.56</v>
      </c>
      <c r="L31">
        <v>483.56</v>
      </c>
      <c r="M31" t="s">
        <v>19</v>
      </c>
      <c r="N31">
        <v>27</v>
      </c>
    </row>
    <row r="32" spans="1:14" x14ac:dyDescent="0.35">
      <c r="A32">
        <v>100031</v>
      </c>
      <c r="B32">
        <v>16627</v>
      </c>
      <c r="C32" t="s">
        <v>77</v>
      </c>
      <c r="D32" t="s">
        <v>49</v>
      </c>
      <c r="E32" t="s">
        <v>56</v>
      </c>
      <c r="F32" t="s">
        <v>54</v>
      </c>
      <c r="G32" t="s">
        <v>18</v>
      </c>
      <c r="H32">
        <v>2785</v>
      </c>
      <c r="I32">
        <v>1661.5</v>
      </c>
      <c r="J32">
        <v>1661.5</v>
      </c>
      <c r="K32">
        <v>1123.5</v>
      </c>
      <c r="L32">
        <v>1123.5</v>
      </c>
      <c r="M32" t="s">
        <v>19</v>
      </c>
      <c r="N32">
        <v>23</v>
      </c>
    </row>
    <row r="33" spans="1:14" x14ac:dyDescent="0.35">
      <c r="A33">
        <v>100032</v>
      </c>
      <c r="B33">
        <v>17857</v>
      </c>
      <c r="C33" t="s">
        <v>78</v>
      </c>
      <c r="D33" t="s">
        <v>34</v>
      </c>
      <c r="E33" t="s">
        <v>41</v>
      </c>
      <c r="F33" t="s">
        <v>35</v>
      </c>
      <c r="G33" t="s">
        <v>72</v>
      </c>
      <c r="H33">
        <v>18762</v>
      </c>
      <c r="I33">
        <v>16947.689999999999</v>
      </c>
      <c r="J33">
        <v>16947.689999999999</v>
      </c>
      <c r="K33">
        <v>1814.31</v>
      </c>
      <c r="L33">
        <v>1814.31</v>
      </c>
      <c r="M33" t="s">
        <v>19</v>
      </c>
      <c r="N33">
        <v>115</v>
      </c>
    </row>
    <row r="34" spans="1:14" x14ac:dyDescent="0.35">
      <c r="A34">
        <v>100033</v>
      </c>
      <c r="B34">
        <v>41173</v>
      </c>
      <c r="C34" t="s">
        <v>79</v>
      </c>
      <c r="D34" t="s">
        <v>52</v>
      </c>
      <c r="E34" t="s">
        <v>43</v>
      </c>
      <c r="F34" t="s">
        <v>54</v>
      </c>
      <c r="G34" t="s">
        <v>18</v>
      </c>
      <c r="H34">
        <v>10674</v>
      </c>
      <c r="I34">
        <v>9041.16</v>
      </c>
      <c r="J34">
        <v>5950.64</v>
      </c>
      <c r="K34">
        <v>1632.84</v>
      </c>
      <c r="L34">
        <v>4723.3599999999997</v>
      </c>
      <c r="M34" t="s">
        <v>39</v>
      </c>
      <c r="N34">
        <v>168</v>
      </c>
    </row>
    <row r="35" spans="1:14" x14ac:dyDescent="0.35">
      <c r="A35">
        <v>100034</v>
      </c>
      <c r="B35">
        <v>48034</v>
      </c>
      <c r="C35" t="s">
        <v>80</v>
      </c>
      <c r="D35" t="s">
        <v>52</v>
      </c>
      <c r="E35" t="s">
        <v>56</v>
      </c>
      <c r="F35" t="s">
        <v>23</v>
      </c>
      <c r="G35" t="s">
        <v>45</v>
      </c>
      <c r="H35">
        <v>18739</v>
      </c>
      <c r="I35">
        <v>10928.76</v>
      </c>
      <c r="J35">
        <v>6359.44</v>
      </c>
      <c r="K35">
        <v>7810.24</v>
      </c>
      <c r="L35">
        <v>12379.56</v>
      </c>
      <c r="M35" t="s">
        <v>39</v>
      </c>
      <c r="N35">
        <v>29</v>
      </c>
    </row>
    <row r="36" spans="1:14" x14ac:dyDescent="0.35">
      <c r="A36">
        <v>100035</v>
      </c>
      <c r="B36">
        <v>68030</v>
      </c>
      <c r="C36" t="s">
        <v>81</v>
      </c>
      <c r="D36" t="s">
        <v>52</v>
      </c>
      <c r="E36" t="s">
        <v>16</v>
      </c>
      <c r="F36" t="s">
        <v>61</v>
      </c>
      <c r="G36" t="s">
        <v>45</v>
      </c>
      <c r="H36">
        <v>4156</v>
      </c>
      <c r="I36">
        <v>3232.28</v>
      </c>
      <c r="J36">
        <v>1413.37</v>
      </c>
      <c r="K36">
        <v>923.72</v>
      </c>
      <c r="L36">
        <v>2742.63</v>
      </c>
      <c r="M36" t="s">
        <v>39</v>
      </c>
      <c r="N36">
        <v>179</v>
      </c>
    </row>
    <row r="37" spans="1:14" x14ac:dyDescent="0.35">
      <c r="A37">
        <v>100036</v>
      </c>
      <c r="B37">
        <v>98526</v>
      </c>
      <c r="C37" t="s">
        <v>82</v>
      </c>
      <c r="D37" t="s">
        <v>49</v>
      </c>
      <c r="E37" t="s">
        <v>41</v>
      </c>
      <c r="F37" t="s">
        <v>54</v>
      </c>
      <c r="G37" t="s">
        <v>45</v>
      </c>
      <c r="H37">
        <v>2633</v>
      </c>
      <c r="I37">
        <v>1672.28</v>
      </c>
      <c r="J37">
        <v>1672.28</v>
      </c>
      <c r="K37">
        <v>960.72</v>
      </c>
      <c r="L37">
        <v>960.72</v>
      </c>
      <c r="M37" t="s">
        <v>19</v>
      </c>
      <c r="N37">
        <v>4</v>
      </c>
    </row>
    <row r="38" spans="1:14" x14ac:dyDescent="0.35">
      <c r="A38">
        <v>100037</v>
      </c>
      <c r="B38">
        <v>63635</v>
      </c>
      <c r="C38" t="s">
        <v>83</v>
      </c>
      <c r="D38" t="s">
        <v>52</v>
      </c>
      <c r="E38" t="s">
        <v>43</v>
      </c>
      <c r="F38" t="s">
        <v>23</v>
      </c>
      <c r="G38" t="s">
        <v>24</v>
      </c>
      <c r="H38">
        <v>14995</v>
      </c>
      <c r="I38">
        <v>11655.54</v>
      </c>
      <c r="J38">
        <v>11655.54</v>
      </c>
      <c r="K38">
        <v>3339.46</v>
      </c>
      <c r="L38">
        <v>3339.46</v>
      </c>
      <c r="M38" t="s">
        <v>19</v>
      </c>
      <c r="N38">
        <v>161</v>
      </c>
    </row>
    <row r="39" spans="1:14" x14ac:dyDescent="0.35">
      <c r="A39">
        <v>100038</v>
      </c>
      <c r="B39">
        <v>16898</v>
      </c>
      <c r="C39" t="s">
        <v>84</v>
      </c>
      <c r="D39" t="s">
        <v>49</v>
      </c>
      <c r="E39" t="s">
        <v>37</v>
      </c>
      <c r="F39" t="s">
        <v>17</v>
      </c>
      <c r="G39" t="s">
        <v>47</v>
      </c>
      <c r="H39">
        <v>9783</v>
      </c>
      <c r="I39">
        <v>8615.7999999999993</v>
      </c>
      <c r="J39">
        <v>8615.7999999999993</v>
      </c>
      <c r="K39">
        <v>1167.2</v>
      </c>
      <c r="L39">
        <v>1167.2</v>
      </c>
      <c r="M39" t="s">
        <v>19</v>
      </c>
      <c r="N39">
        <v>33</v>
      </c>
    </row>
    <row r="40" spans="1:14" x14ac:dyDescent="0.35">
      <c r="A40">
        <v>100039</v>
      </c>
      <c r="B40">
        <v>30089</v>
      </c>
      <c r="C40" t="s">
        <v>85</v>
      </c>
      <c r="D40" t="s">
        <v>30</v>
      </c>
      <c r="E40" t="s">
        <v>31</v>
      </c>
      <c r="F40" t="s">
        <v>44</v>
      </c>
      <c r="G40" t="s">
        <v>72</v>
      </c>
      <c r="H40">
        <v>7325</v>
      </c>
      <c r="I40">
        <v>4042.03</v>
      </c>
      <c r="J40">
        <v>4042.03</v>
      </c>
      <c r="K40">
        <v>3282.97</v>
      </c>
      <c r="L40">
        <v>3282.97</v>
      </c>
      <c r="M40" t="s">
        <v>19</v>
      </c>
      <c r="N40">
        <v>37</v>
      </c>
    </row>
    <row r="41" spans="1:14" x14ac:dyDescent="0.35">
      <c r="A41">
        <v>100040</v>
      </c>
      <c r="B41">
        <v>62957</v>
      </c>
      <c r="C41" t="s">
        <v>86</v>
      </c>
      <c r="D41" t="s">
        <v>49</v>
      </c>
      <c r="E41" t="s">
        <v>16</v>
      </c>
      <c r="F41" t="s">
        <v>32</v>
      </c>
      <c r="G41" t="s">
        <v>47</v>
      </c>
      <c r="H41">
        <v>15360</v>
      </c>
      <c r="I41">
        <v>12073.25</v>
      </c>
      <c r="J41">
        <v>0</v>
      </c>
      <c r="K41">
        <v>3286.75</v>
      </c>
      <c r="L41">
        <v>15360</v>
      </c>
      <c r="M41" t="s">
        <v>62</v>
      </c>
      <c r="N41">
        <v>102</v>
      </c>
    </row>
    <row r="42" spans="1:14" x14ac:dyDescent="0.35">
      <c r="A42">
        <v>100041</v>
      </c>
      <c r="B42">
        <v>68367</v>
      </c>
      <c r="C42" t="s">
        <v>87</v>
      </c>
      <c r="D42" t="s">
        <v>21</v>
      </c>
      <c r="E42" t="s">
        <v>41</v>
      </c>
      <c r="F42" t="s">
        <v>54</v>
      </c>
      <c r="G42" t="s">
        <v>47</v>
      </c>
      <c r="H42">
        <v>6723</v>
      </c>
      <c r="I42">
        <v>4572.3</v>
      </c>
      <c r="J42">
        <v>4572.3</v>
      </c>
      <c r="K42">
        <v>2150.6999999999998</v>
      </c>
      <c r="L42">
        <v>2150.6999999999998</v>
      </c>
      <c r="M42" t="s">
        <v>19</v>
      </c>
      <c r="N42">
        <v>145</v>
      </c>
    </row>
    <row r="43" spans="1:14" x14ac:dyDescent="0.35">
      <c r="A43">
        <v>100042</v>
      </c>
      <c r="B43">
        <v>73968</v>
      </c>
      <c r="C43" t="s">
        <v>88</v>
      </c>
      <c r="D43" t="s">
        <v>52</v>
      </c>
      <c r="E43" t="s">
        <v>43</v>
      </c>
      <c r="F43" t="s">
        <v>23</v>
      </c>
      <c r="G43" t="s">
        <v>72</v>
      </c>
      <c r="H43">
        <v>14769</v>
      </c>
      <c r="I43">
        <v>11187.19</v>
      </c>
      <c r="J43">
        <v>11187.19</v>
      </c>
      <c r="K43">
        <v>3581.81</v>
      </c>
      <c r="L43">
        <v>3581.81</v>
      </c>
      <c r="M43" t="s">
        <v>19</v>
      </c>
      <c r="N43">
        <v>153</v>
      </c>
    </row>
    <row r="44" spans="1:14" x14ac:dyDescent="0.35">
      <c r="A44">
        <v>100043</v>
      </c>
      <c r="B44">
        <v>60952</v>
      </c>
      <c r="C44" t="s">
        <v>89</v>
      </c>
      <c r="D44" t="s">
        <v>30</v>
      </c>
      <c r="E44" t="s">
        <v>16</v>
      </c>
      <c r="F44" t="s">
        <v>17</v>
      </c>
      <c r="G44" t="s">
        <v>28</v>
      </c>
      <c r="H44">
        <v>22674</v>
      </c>
      <c r="I44">
        <v>21482.03</v>
      </c>
      <c r="J44">
        <v>18997.3</v>
      </c>
      <c r="K44">
        <v>1191.97</v>
      </c>
      <c r="L44">
        <v>3676.7</v>
      </c>
      <c r="M44" t="s">
        <v>39</v>
      </c>
      <c r="N44">
        <v>99</v>
      </c>
    </row>
    <row r="45" spans="1:14" x14ac:dyDescent="0.35">
      <c r="A45">
        <v>100044</v>
      </c>
      <c r="B45">
        <v>89814</v>
      </c>
      <c r="C45" t="s">
        <v>90</v>
      </c>
      <c r="D45" t="s">
        <v>65</v>
      </c>
      <c r="E45" t="s">
        <v>31</v>
      </c>
      <c r="F45" t="s">
        <v>54</v>
      </c>
      <c r="G45" t="s">
        <v>24</v>
      </c>
      <c r="H45">
        <v>24069</v>
      </c>
      <c r="I45">
        <v>13884.33</v>
      </c>
      <c r="J45">
        <v>13884.33</v>
      </c>
      <c r="K45">
        <v>10184.67</v>
      </c>
      <c r="L45">
        <v>10184.67</v>
      </c>
      <c r="M45" t="s">
        <v>19</v>
      </c>
      <c r="N45">
        <v>123</v>
      </c>
    </row>
    <row r="46" spans="1:14" x14ac:dyDescent="0.35">
      <c r="A46">
        <v>100045</v>
      </c>
      <c r="B46">
        <v>26737</v>
      </c>
      <c r="C46" t="s">
        <v>91</v>
      </c>
      <c r="D46" t="s">
        <v>52</v>
      </c>
      <c r="E46" t="s">
        <v>56</v>
      </c>
      <c r="F46" t="s">
        <v>54</v>
      </c>
      <c r="G46" t="s">
        <v>28</v>
      </c>
      <c r="H46">
        <v>2058</v>
      </c>
      <c r="I46">
        <v>1158.71</v>
      </c>
      <c r="J46">
        <v>518.17999999999995</v>
      </c>
      <c r="K46">
        <v>899.29</v>
      </c>
      <c r="L46">
        <v>1539.82</v>
      </c>
      <c r="M46" t="s">
        <v>39</v>
      </c>
      <c r="N46">
        <v>75</v>
      </c>
    </row>
    <row r="47" spans="1:14" x14ac:dyDescent="0.35">
      <c r="A47">
        <v>100046</v>
      </c>
      <c r="B47">
        <v>70547</v>
      </c>
      <c r="C47" t="s">
        <v>92</v>
      </c>
      <c r="D47" t="s">
        <v>15</v>
      </c>
      <c r="E47" t="s">
        <v>16</v>
      </c>
      <c r="F47" t="s">
        <v>17</v>
      </c>
      <c r="G47" t="s">
        <v>72</v>
      </c>
      <c r="H47">
        <v>22071</v>
      </c>
      <c r="I47">
        <v>16022.53</v>
      </c>
      <c r="J47">
        <v>10841.28</v>
      </c>
      <c r="K47">
        <v>6048.47</v>
      </c>
      <c r="L47">
        <v>11229.72</v>
      </c>
      <c r="M47" t="s">
        <v>39</v>
      </c>
      <c r="N47">
        <v>4</v>
      </c>
    </row>
    <row r="48" spans="1:14" x14ac:dyDescent="0.35">
      <c r="A48">
        <v>100047</v>
      </c>
      <c r="B48">
        <v>10845</v>
      </c>
      <c r="C48" t="s">
        <v>93</v>
      </c>
      <c r="D48" t="s">
        <v>15</v>
      </c>
      <c r="E48" t="s">
        <v>31</v>
      </c>
      <c r="F48" t="s">
        <v>44</v>
      </c>
      <c r="G48" t="s">
        <v>28</v>
      </c>
      <c r="H48">
        <v>18661</v>
      </c>
      <c r="I48">
        <v>14484.22</v>
      </c>
      <c r="J48">
        <v>14484.22</v>
      </c>
      <c r="K48">
        <v>4176.78</v>
      </c>
      <c r="L48">
        <v>4176.78</v>
      </c>
      <c r="M48" t="s">
        <v>19</v>
      </c>
      <c r="N48">
        <v>0</v>
      </c>
    </row>
    <row r="49" spans="1:14" x14ac:dyDescent="0.35">
      <c r="A49">
        <v>100048</v>
      </c>
      <c r="B49">
        <v>16228</v>
      </c>
      <c r="C49" t="s">
        <v>94</v>
      </c>
      <c r="D49" t="s">
        <v>52</v>
      </c>
      <c r="E49" t="s">
        <v>37</v>
      </c>
      <c r="F49" t="s">
        <v>32</v>
      </c>
      <c r="G49" t="s">
        <v>47</v>
      </c>
      <c r="H49">
        <v>20854</v>
      </c>
      <c r="I49">
        <v>18530.419999999998</v>
      </c>
      <c r="J49">
        <v>18530.419999999998</v>
      </c>
      <c r="K49">
        <v>2323.58</v>
      </c>
      <c r="L49">
        <v>2323.58</v>
      </c>
      <c r="M49" t="s">
        <v>19</v>
      </c>
      <c r="N49">
        <v>141</v>
      </c>
    </row>
    <row r="50" spans="1:14" x14ac:dyDescent="0.35">
      <c r="A50">
        <v>100049</v>
      </c>
      <c r="B50">
        <v>91493</v>
      </c>
      <c r="C50" t="s">
        <v>95</v>
      </c>
      <c r="D50" t="s">
        <v>21</v>
      </c>
      <c r="E50" t="s">
        <v>31</v>
      </c>
      <c r="F50" t="s">
        <v>27</v>
      </c>
      <c r="G50" t="s">
        <v>45</v>
      </c>
      <c r="H50">
        <v>10550</v>
      </c>
      <c r="I50">
        <v>8098.32</v>
      </c>
      <c r="J50">
        <v>0</v>
      </c>
      <c r="K50">
        <v>2451.6799999999998</v>
      </c>
      <c r="L50">
        <v>10550</v>
      </c>
      <c r="M50" t="s">
        <v>62</v>
      </c>
      <c r="N50">
        <v>27</v>
      </c>
    </row>
    <row r="51" spans="1:14" x14ac:dyDescent="0.35">
      <c r="A51">
        <v>100050</v>
      </c>
      <c r="B51">
        <v>38292</v>
      </c>
      <c r="C51" t="s">
        <v>96</v>
      </c>
      <c r="D51" t="s">
        <v>34</v>
      </c>
      <c r="E51" t="s">
        <v>22</v>
      </c>
      <c r="F51" t="s">
        <v>32</v>
      </c>
      <c r="G51" t="s">
        <v>45</v>
      </c>
      <c r="H51">
        <v>13875</v>
      </c>
      <c r="I51">
        <v>11257.81</v>
      </c>
      <c r="J51">
        <v>2585.3200000000002</v>
      </c>
      <c r="K51">
        <v>2617.19</v>
      </c>
      <c r="L51">
        <v>11289.68</v>
      </c>
      <c r="M51" t="s">
        <v>50</v>
      </c>
      <c r="N51">
        <v>112</v>
      </c>
    </row>
    <row r="52" spans="1:14" x14ac:dyDescent="0.35">
      <c r="A52">
        <v>100051</v>
      </c>
      <c r="B52">
        <v>22087</v>
      </c>
      <c r="C52" t="s">
        <v>97</v>
      </c>
      <c r="D52" t="s">
        <v>65</v>
      </c>
      <c r="E52" t="s">
        <v>22</v>
      </c>
      <c r="F52" t="s">
        <v>54</v>
      </c>
      <c r="G52" t="s">
        <v>47</v>
      </c>
      <c r="H52">
        <v>900</v>
      </c>
      <c r="I52">
        <v>571.67999999999995</v>
      </c>
      <c r="J52">
        <v>571.67999999999995</v>
      </c>
      <c r="K52">
        <v>328.32</v>
      </c>
      <c r="L52">
        <v>328.32</v>
      </c>
      <c r="M52" t="s">
        <v>19</v>
      </c>
      <c r="N52">
        <v>34</v>
      </c>
    </row>
    <row r="53" spans="1:14" x14ac:dyDescent="0.35">
      <c r="A53">
        <v>100052</v>
      </c>
      <c r="B53">
        <v>67284</v>
      </c>
      <c r="C53" t="s">
        <v>98</v>
      </c>
      <c r="D53" t="s">
        <v>34</v>
      </c>
      <c r="E53" t="s">
        <v>41</v>
      </c>
      <c r="F53" t="s">
        <v>17</v>
      </c>
      <c r="G53" t="s">
        <v>24</v>
      </c>
      <c r="H53">
        <v>11212</v>
      </c>
      <c r="I53">
        <v>8256.69</v>
      </c>
      <c r="J53">
        <v>749.07</v>
      </c>
      <c r="K53">
        <v>2955.31</v>
      </c>
      <c r="L53">
        <v>10462.93</v>
      </c>
      <c r="M53" t="s">
        <v>50</v>
      </c>
      <c r="N53">
        <v>95</v>
      </c>
    </row>
    <row r="54" spans="1:14" x14ac:dyDescent="0.35">
      <c r="A54">
        <v>100053</v>
      </c>
      <c r="B54">
        <v>45333</v>
      </c>
      <c r="C54" t="s">
        <v>99</v>
      </c>
      <c r="D54" t="s">
        <v>21</v>
      </c>
      <c r="E54" t="s">
        <v>26</v>
      </c>
      <c r="F54" t="s">
        <v>32</v>
      </c>
      <c r="G54" t="s">
        <v>18</v>
      </c>
      <c r="H54">
        <v>788</v>
      </c>
      <c r="I54">
        <v>737.34</v>
      </c>
      <c r="J54">
        <v>737.34</v>
      </c>
      <c r="K54">
        <v>50.66</v>
      </c>
      <c r="L54">
        <v>50.66</v>
      </c>
      <c r="M54" t="s">
        <v>19</v>
      </c>
      <c r="N54">
        <v>17</v>
      </c>
    </row>
    <row r="55" spans="1:14" x14ac:dyDescent="0.35">
      <c r="A55">
        <v>100054</v>
      </c>
      <c r="B55">
        <v>22085</v>
      </c>
      <c r="C55" t="s">
        <v>100</v>
      </c>
      <c r="D55" t="s">
        <v>49</v>
      </c>
      <c r="E55" t="s">
        <v>31</v>
      </c>
      <c r="F55" t="s">
        <v>27</v>
      </c>
      <c r="G55" t="s">
        <v>28</v>
      </c>
      <c r="H55">
        <v>17432</v>
      </c>
      <c r="I55">
        <v>10487.68</v>
      </c>
      <c r="J55">
        <v>0</v>
      </c>
      <c r="K55">
        <v>6944.32</v>
      </c>
      <c r="L55">
        <v>17432</v>
      </c>
      <c r="M55" t="s">
        <v>62</v>
      </c>
      <c r="N55">
        <v>8</v>
      </c>
    </row>
    <row r="56" spans="1:14" x14ac:dyDescent="0.35">
      <c r="A56">
        <v>100055</v>
      </c>
      <c r="B56">
        <v>90819</v>
      </c>
      <c r="C56" t="s">
        <v>67</v>
      </c>
      <c r="D56" t="s">
        <v>52</v>
      </c>
      <c r="E56" t="s">
        <v>37</v>
      </c>
      <c r="F56" t="s">
        <v>44</v>
      </c>
      <c r="G56" t="s">
        <v>24</v>
      </c>
      <c r="H56">
        <v>17688</v>
      </c>
      <c r="I56">
        <v>16742.89</v>
      </c>
      <c r="J56">
        <v>16742.89</v>
      </c>
      <c r="K56">
        <v>945.11</v>
      </c>
      <c r="L56">
        <v>945.11</v>
      </c>
      <c r="M56" t="s">
        <v>19</v>
      </c>
      <c r="N56">
        <v>104</v>
      </c>
    </row>
    <row r="57" spans="1:14" x14ac:dyDescent="0.35">
      <c r="A57">
        <v>100056</v>
      </c>
      <c r="B57">
        <v>30289</v>
      </c>
      <c r="C57" t="s">
        <v>101</v>
      </c>
      <c r="D57" t="s">
        <v>52</v>
      </c>
      <c r="E57" t="s">
        <v>56</v>
      </c>
      <c r="F57" t="s">
        <v>23</v>
      </c>
      <c r="G57" t="s">
        <v>28</v>
      </c>
      <c r="H57">
        <v>13360</v>
      </c>
      <c r="I57">
        <v>12228.27</v>
      </c>
      <c r="J57">
        <v>12228.27</v>
      </c>
      <c r="K57">
        <v>1131.73</v>
      </c>
      <c r="L57">
        <v>1131.73</v>
      </c>
      <c r="M57" t="s">
        <v>19</v>
      </c>
      <c r="N57">
        <v>138</v>
      </c>
    </row>
    <row r="58" spans="1:14" x14ac:dyDescent="0.35">
      <c r="A58">
        <v>100057</v>
      </c>
      <c r="B58">
        <v>28601</v>
      </c>
      <c r="C58" t="s">
        <v>102</v>
      </c>
      <c r="D58" t="s">
        <v>15</v>
      </c>
      <c r="E58" t="s">
        <v>56</v>
      </c>
      <c r="F58" t="s">
        <v>32</v>
      </c>
      <c r="G58" t="s">
        <v>47</v>
      </c>
      <c r="H58">
        <v>23667</v>
      </c>
      <c r="I58">
        <v>16701.740000000002</v>
      </c>
      <c r="J58">
        <v>16701.740000000002</v>
      </c>
      <c r="K58">
        <v>6965.26</v>
      </c>
      <c r="L58">
        <v>6965.26</v>
      </c>
      <c r="M58" t="s">
        <v>19</v>
      </c>
      <c r="N58">
        <v>30</v>
      </c>
    </row>
    <row r="59" spans="1:14" x14ac:dyDescent="0.35">
      <c r="A59">
        <v>100058</v>
      </c>
      <c r="B59">
        <v>90011</v>
      </c>
      <c r="C59" t="s">
        <v>103</v>
      </c>
      <c r="D59" t="s">
        <v>34</v>
      </c>
      <c r="E59" t="s">
        <v>22</v>
      </c>
      <c r="F59" t="s">
        <v>27</v>
      </c>
      <c r="G59" t="s">
        <v>28</v>
      </c>
      <c r="H59">
        <v>18715</v>
      </c>
      <c r="I59">
        <v>16518.099999999999</v>
      </c>
      <c r="J59">
        <v>0</v>
      </c>
      <c r="K59">
        <v>2196.9</v>
      </c>
      <c r="L59">
        <v>18715</v>
      </c>
      <c r="M59" t="s">
        <v>62</v>
      </c>
      <c r="N59">
        <v>9</v>
      </c>
    </row>
    <row r="60" spans="1:14" x14ac:dyDescent="0.35">
      <c r="A60">
        <v>100059</v>
      </c>
      <c r="B60">
        <v>57090</v>
      </c>
      <c r="C60" t="s">
        <v>104</v>
      </c>
      <c r="D60" t="s">
        <v>49</v>
      </c>
      <c r="E60" t="s">
        <v>31</v>
      </c>
      <c r="F60" t="s">
        <v>35</v>
      </c>
      <c r="G60" t="s">
        <v>18</v>
      </c>
      <c r="H60">
        <v>20532</v>
      </c>
      <c r="I60">
        <v>12820.05</v>
      </c>
      <c r="J60">
        <v>12820.05</v>
      </c>
      <c r="K60">
        <v>7711.95</v>
      </c>
      <c r="L60">
        <v>7711.95</v>
      </c>
      <c r="M60" t="s">
        <v>19</v>
      </c>
      <c r="N60">
        <v>89</v>
      </c>
    </row>
    <row r="61" spans="1:14" x14ac:dyDescent="0.35">
      <c r="A61">
        <v>100060</v>
      </c>
      <c r="B61">
        <v>59914</v>
      </c>
      <c r="C61" t="s">
        <v>105</v>
      </c>
      <c r="D61" t="s">
        <v>49</v>
      </c>
      <c r="E61" t="s">
        <v>56</v>
      </c>
      <c r="F61" t="s">
        <v>35</v>
      </c>
      <c r="G61" t="s">
        <v>38</v>
      </c>
      <c r="H61">
        <v>9422</v>
      </c>
      <c r="I61">
        <v>7741.93</v>
      </c>
      <c r="J61">
        <v>7741.93</v>
      </c>
      <c r="K61">
        <v>1680.07</v>
      </c>
      <c r="L61">
        <v>1680.07</v>
      </c>
      <c r="M61" t="s">
        <v>19</v>
      </c>
      <c r="N61">
        <v>56</v>
      </c>
    </row>
    <row r="62" spans="1:14" x14ac:dyDescent="0.35">
      <c r="A62">
        <v>100061</v>
      </c>
      <c r="B62">
        <v>25332</v>
      </c>
      <c r="C62" t="s">
        <v>106</v>
      </c>
      <c r="D62" t="s">
        <v>21</v>
      </c>
      <c r="E62" t="s">
        <v>31</v>
      </c>
      <c r="F62" t="s">
        <v>44</v>
      </c>
      <c r="G62" t="s">
        <v>47</v>
      </c>
      <c r="H62">
        <v>4993</v>
      </c>
      <c r="I62">
        <v>4486.0600000000004</v>
      </c>
      <c r="J62">
        <v>2451.7600000000002</v>
      </c>
      <c r="K62">
        <v>506.94</v>
      </c>
      <c r="L62">
        <v>2541.2399999999998</v>
      </c>
      <c r="M62" t="s">
        <v>39</v>
      </c>
      <c r="N62">
        <v>163</v>
      </c>
    </row>
    <row r="63" spans="1:14" x14ac:dyDescent="0.35">
      <c r="A63">
        <v>100062</v>
      </c>
      <c r="B63">
        <v>88214</v>
      </c>
      <c r="C63" t="s">
        <v>107</v>
      </c>
      <c r="D63" t="s">
        <v>52</v>
      </c>
      <c r="E63" t="s">
        <v>56</v>
      </c>
      <c r="F63" t="s">
        <v>35</v>
      </c>
      <c r="G63" t="s">
        <v>28</v>
      </c>
      <c r="H63">
        <v>2061</v>
      </c>
      <c r="I63">
        <v>1386.01</v>
      </c>
      <c r="J63">
        <v>0</v>
      </c>
      <c r="K63">
        <v>674.99</v>
      </c>
      <c r="L63">
        <v>2061</v>
      </c>
      <c r="M63" t="s">
        <v>62</v>
      </c>
      <c r="N63">
        <v>49</v>
      </c>
    </row>
    <row r="64" spans="1:14" x14ac:dyDescent="0.35">
      <c r="A64">
        <v>100063</v>
      </c>
      <c r="B64">
        <v>50695</v>
      </c>
      <c r="C64" t="s">
        <v>108</v>
      </c>
      <c r="D64" t="s">
        <v>52</v>
      </c>
      <c r="E64" t="s">
        <v>37</v>
      </c>
      <c r="F64" t="s">
        <v>23</v>
      </c>
      <c r="G64" t="s">
        <v>38</v>
      </c>
      <c r="H64">
        <v>7101</v>
      </c>
      <c r="I64">
        <v>6477.07</v>
      </c>
      <c r="J64">
        <v>4047.81</v>
      </c>
      <c r="K64">
        <v>623.92999999999995</v>
      </c>
      <c r="L64">
        <v>3053.19</v>
      </c>
      <c r="M64" t="s">
        <v>39</v>
      </c>
      <c r="N64">
        <v>116</v>
      </c>
    </row>
    <row r="65" spans="1:14" x14ac:dyDescent="0.35">
      <c r="A65">
        <v>100064</v>
      </c>
      <c r="B65">
        <v>21303</v>
      </c>
      <c r="C65" t="s">
        <v>109</v>
      </c>
      <c r="D65" t="s">
        <v>34</v>
      </c>
      <c r="E65" t="s">
        <v>56</v>
      </c>
      <c r="F65" t="s">
        <v>35</v>
      </c>
      <c r="G65" t="s">
        <v>38</v>
      </c>
      <c r="H65">
        <v>23200</v>
      </c>
      <c r="I65">
        <v>20400.560000000001</v>
      </c>
      <c r="J65">
        <v>20400.560000000001</v>
      </c>
      <c r="K65">
        <v>2799.44</v>
      </c>
      <c r="L65">
        <v>2799.44</v>
      </c>
      <c r="M65" t="s">
        <v>19</v>
      </c>
      <c r="N65">
        <v>7</v>
      </c>
    </row>
    <row r="66" spans="1:14" x14ac:dyDescent="0.35">
      <c r="A66">
        <v>100065</v>
      </c>
      <c r="B66">
        <v>12800</v>
      </c>
      <c r="C66" t="s">
        <v>85</v>
      </c>
      <c r="D66" t="s">
        <v>15</v>
      </c>
      <c r="E66" t="s">
        <v>22</v>
      </c>
      <c r="F66" t="s">
        <v>27</v>
      </c>
      <c r="G66" t="s">
        <v>72</v>
      </c>
      <c r="H66">
        <v>12474</v>
      </c>
      <c r="I66">
        <v>9503.7999999999993</v>
      </c>
      <c r="J66">
        <v>9503.7999999999993</v>
      </c>
      <c r="K66">
        <v>2970.2</v>
      </c>
      <c r="L66">
        <v>2970.2</v>
      </c>
      <c r="M66" t="s">
        <v>19</v>
      </c>
      <c r="N66">
        <v>76</v>
      </c>
    </row>
    <row r="67" spans="1:14" x14ac:dyDescent="0.35">
      <c r="A67">
        <v>100066</v>
      </c>
      <c r="B67">
        <v>85699</v>
      </c>
      <c r="C67" t="s">
        <v>110</v>
      </c>
      <c r="D67" t="s">
        <v>34</v>
      </c>
      <c r="E67" t="s">
        <v>56</v>
      </c>
      <c r="F67" t="s">
        <v>61</v>
      </c>
      <c r="G67" t="s">
        <v>28</v>
      </c>
      <c r="H67">
        <v>8815</v>
      </c>
      <c r="I67">
        <v>4964.67</v>
      </c>
      <c r="J67">
        <v>4964.67</v>
      </c>
      <c r="K67">
        <v>3850.33</v>
      </c>
      <c r="L67">
        <v>3850.33</v>
      </c>
      <c r="M67" t="s">
        <v>19</v>
      </c>
      <c r="N67">
        <v>114</v>
      </c>
    </row>
    <row r="68" spans="1:14" x14ac:dyDescent="0.35">
      <c r="A68">
        <v>100067</v>
      </c>
      <c r="B68">
        <v>41717</v>
      </c>
      <c r="C68" t="s">
        <v>111</v>
      </c>
      <c r="D68" t="s">
        <v>65</v>
      </c>
      <c r="E68" t="s">
        <v>37</v>
      </c>
      <c r="F68" t="s">
        <v>27</v>
      </c>
      <c r="G68" t="s">
        <v>24</v>
      </c>
      <c r="H68">
        <v>22930</v>
      </c>
      <c r="I68">
        <v>21110.57</v>
      </c>
      <c r="J68">
        <v>0</v>
      </c>
      <c r="K68">
        <v>1819.43</v>
      </c>
      <c r="L68">
        <v>22930</v>
      </c>
      <c r="M68" t="s">
        <v>62</v>
      </c>
      <c r="N68">
        <v>35</v>
      </c>
    </row>
    <row r="69" spans="1:14" x14ac:dyDescent="0.35">
      <c r="A69">
        <v>100068</v>
      </c>
      <c r="B69">
        <v>41500</v>
      </c>
      <c r="C69" t="s">
        <v>112</v>
      </c>
      <c r="D69" t="s">
        <v>34</v>
      </c>
      <c r="E69" t="s">
        <v>22</v>
      </c>
      <c r="F69" t="s">
        <v>35</v>
      </c>
      <c r="G69" t="s">
        <v>28</v>
      </c>
      <c r="H69">
        <v>18908</v>
      </c>
      <c r="I69">
        <v>14463.34</v>
      </c>
      <c r="J69">
        <v>14463.34</v>
      </c>
      <c r="K69">
        <v>4444.66</v>
      </c>
      <c r="L69">
        <v>4444.66</v>
      </c>
      <c r="M69" t="s">
        <v>19</v>
      </c>
      <c r="N69">
        <v>173</v>
      </c>
    </row>
    <row r="70" spans="1:14" x14ac:dyDescent="0.35">
      <c r="A70">
        <v>100069</v>
      </c>
      <c r="B70">
        <v>10585</v>
      </c>
      <c r="C70" t="s">
        <v>113</v>
      </c>
      <c r="D70" t="s">
        <v>21</v>
      </c>
      <c r="E70" t="s">
        <v>56</v>
      </c>
      <c r="F70" t="s">
        <v>23</v>
      </c>
      <c r="G70" t="s">
        <v>45</v>
      </c>
      <c r="H70">
        <v>3371</v>
      </c>
      <c r="I70">
        <v>1989.25</v>
      </c>
      <c r="J70">
        <v>1989.25</v>
      </c>
      <c r="K70">
        <v>1381.75</v>
      </c>
      <c r="L70">
        <v>1381.75</v>
      </c>
      <c r="M70" t="s">
        <v>19</v>
      </c>
      <c r="N70">
        <v>110</v>
      </c>
    </row>
    <row r="71" spans="1:14" x14ac:dyDescent="0.35">
      <c r="A71">
        <v>100070</v>
      </c>
      <c r="B71">
        <v>22146</v>
      </c>
      <c r="C71" t="s">
        <v>25</v>
      </c>
      <c r="D71" t="s">
        <v>30</v>
      </c>
      <c r="E71" t="s">
        <v>37</v>
      </c>
      <c r="F71" t="s">
        <v>61</v>
      </c>
      <c r="G71" t="s">
        <v>38</v>
      </c>
      <c r="H71">
        <v>2140</v>
      </c>
      <c r="I71">
        <v>1426.95</v>
      </c>
      <c r="J71">
        <v>115.48</v>
      </c>
      <c r="K71">
        <v>713.05</v>
      </c>
      <c r="L71">
        <v>2024.52</v>
      </c>
      <c r="M71" t="s">
        <v>50</v>
      </c>
      <c r="N71">
        <v>74</v>
      </c>
    </row>
    <row r="72" spans="1:14" x14ac:dyDescent="0.35">
      <c r="A72">
        <v>100071</v>
      </c>
      <c r="B72">
        <v>42892</v>
      </c>
      <c r="C72" t="s">
        <v>114</v>
      </c>
      <c r="D72" t="s">
        <v>30</v>
      </c>
      <c r="E72" t="s">
        <v>41</v>
      </c>
      <c r="F72" t="s">
        <v>35</v>
      </c>
      <c r="G72" t="s">
        <v>24</v>
      </c>
      <c r="H72">
        <v>7494</v>
      </c>
      <c r="I72">
        <v>5863.14</v>
      </c>
      <c r="J72">
        <v>5863.14</v>
      </c>
      <c r="K72">
        <v>1630.86</v>
      </c>
      <c r="L72">
        <v>1630.86</v>
      </c>
      <c r="M72" t="s">
        <v>19</v>
      </c>
      <c r="N72">
        <v>10</v>
      </c>
    </row>
    <row r="73" spans="1:14" x14ac:dyDescent="0.35">
      <c r="A73">
        <v>100072</v>
      </c>
      <c r="B73">
        <v>64798</v>
      </c>
      <c r="C73" t="s">
        <v>115</v>
      </c>
      <c r="D73" t="s">
        <v>30</v>
      </c>
      <c r="E73" t="s">
        <v>16</v>
      </c>
      <c r="F73" t="s">
        <v>17</v>
      </c>
      <c r="G73" t="s">
        <v>24</v>
      </c>
      <c r="H73">
        <v>15491</v>
      </c>
      <c r="I73">
        <v>8964.9599999999991</v>
      </c>
      <c r="J73">
        <v>8964.9599999999991</v>
      </c>
      <c r="K73">
        <v>6526.04</v>
      </c>
      <c r="L73">
        <v>6526.04</v>
      </c>
      <c r="M73" t="s">
        <v>19</v>
      </c>
      <c r="N73">
        <v>152</v>
      </c>
    </row>
    <row r="74" spans="1:14" x14ac:dyDescent="0.35">
      <c r="A74">
        <v>100073</v>
      </c>
      <c r="B74">
        <v>59048</v>
      </c>
      <c r="C74" t="s">
        <v>116</v>
      </c>
      <c r="D74" t="s">
        <v>34</v>
      </c>
      <c r="E74" t="s">
        <v>41</v>
      </c>
      <c r="F74" t="s">
        <v>23</v>
      </c>
      <c r="G74" t="s">
        <v>28</v>
      </c>
      <c r="H74">
        <v>18222</v>
      </c>
      <c r="I74">
        <v>13546.78</v>
      </c>
      <c r="J74">
        <v>13546.78</v>
      </c>
      <c r="K74">
        <v>4675.22</v>
      </c>
      <c r="L74">
        <v>4675.22</v>
      </c>
      <c r="M74" t="s">
        <v>19</v>
      </c>
      <c r="N74">
        <v>0</v>
      </c>
    </row>
    <row r="75" spans="1:14" x14ac:dyDescent="0.35">
      <c r="A75">
        <v>100074</v>
      </c>
      <c r="B75">
        <v>76419</v>
      </c>
      <c r="C75" t="s">
        <v>117</v>
      </c>
      <c r="D75" t="s">
        <v>34</v>
      </c>
      <c r="E75" t="s">
        <v>16</v>
      </c>
      <c r="F75" t="s">
        <v>35</v>
      </c>
      <c r="G75" t="s">
        <v>72</v>
      </c>
      <c r="H75">
        <v>2945</v>
      </c>
      <c r="I75">
        <v>1875.85</v>
      </c>
      <c r="J75">
        <v>1875.85</v>
      </c>
      <c r="K75">
        <v>1069.1500000000001</v>
      </c>
      <c r="L75">
        <v>1069.1500000000001</v>
      </c>
      <c r="M75" t="s">
        <v>19</v>
      </c>
      <c r="N75">
        <v>159</v>
      </c>
    </row>
    <row r="76" spans="1:14" x14ac:dyDescent="0.35">
      <c r="A76">
        <v>100075</v>
      </c>
      <c r="B76">
        <v>51131</v>
      </c>
      <c r="C76" t="s">
        <v>118</v>
      </c>
      <c r="D76" t="s">
        <v>15</v>
      </c>
      <c r="E76" t="s">
        <v>37</v>
      </c>
      <c r="F76" t="s">
        <v>27</v>
      </c>
      <c r="G76" t="s">
        <v>18</v>
      </c>
      <c r="H76">
        <v>15021</v>
      </c>
      <c r="I76">
        <v>9524.59</v>
      </c>
      <c r="J76">
        <v>0</v>
      </c>
      <c r="K76">
        <v>5496.41</v>
      </c>
      <c r="L76">
        <v>15021</v>
      </c>
      <c r="M76" t="s">
        <v>62</v>
      </c>
      <c r="N76">
        <v>122</v>
      </c>
    </row>
    <row r="77" spans="1:14" x14ac:dyDescent="0.35">
      <c r="A77">
        <v>100076</v>
      </c>
      <c r="B77">
        <v>58126</v>
      </c>
      <c r="C77" t="s">
        <v>119</v>
      </c>
      <c r="D77" t="s">
        <v>30</v>
      </c>
      <c r="E77" t="s">
        <v>16</v>
      </c>
      <c r="F77" t="s">
        <v>61</v>
      </c>
      <c r="G77" t="s">
        <v>18</v>
      </c>
      <c r="H77">
        <v>19317</v>
      </c>
      <c r="I77">
        <v>14459.62</v>
      </c>
      <c r="J77">
        <v>12367.05</v>
      </c>
      <c r="K77">
        <v>4857.38</v>
      </c>
      <c r="L77">
        <v>6949.95</v>
      </c>
      <c r="M77" t="s">
        <v>39</v>
      </c>
      <c r="N77">
        <v>72</v>
      </c>
    </row>
    <row r="78" spans="1:14" x14ac:dyDescent="0.35">
      <c r="A78">
        <v>100077</v>
      </c>
      <c r="B78">
        <v>95687</v>
      </c>
      <c r="C78" t="s">
        <v>120</v>
      </c>
      <c r="D78" t="s">
        <v>30</v>
      </c>
      <c r="E78" t="s">
        <v>26</v>
      </c>
      <c r="F78" t="s">
        <v>35</v>
      </c>
      <c r="G78" t="s">
        <v>45</v>
      </c>
      <c r="H78">
        <v>14059</v>
      </c>
      <c r="I78">
        <v>10107.99</v>
      </c>
      <c r="J78">
        <v>6992.91</v>
      </c>
      <c r="K78">
        <v>3951.01</v>
      </c>
      <c r="L78">
        <v>7066.09</v>
      </c>
      <c r="M78" t="s">
        <v>39</v>
      </c>
      <c r="N78">
        <v>41</v>
      </c>
    </row>
    <row r="79" spans="1:14" x14ac:dyDescent="0.35">
      <c r="A79">
        <v>100078</v>
      </c>
      <c r="B79">
        <v>11150</v>
      </c>
      <c r="C79" t="s">
        <v>121</v>
      </c>
      <c r="D79" t="s">
        <v>15</v>
      </c>
      <c r="E79" t="s">
        <v>43</v>
      </c>
      <c r="F79" t="s">
        <v>35</v>
      </c>
      <c r="G79" t="s">
        <v>38</v>
      </c>
      <c r="H79">
        <v>21760</v>
      </c>
      <c r="I79">
        <v>17919.89</v>
      </c>
      <c r="J79">
        <v>17919.89</v>
      </c>
      <c r="K79">
        <v>3840.11</v>
      </c>
      <c r="L79">
        <v>3840.11</v>
      </c>
      <c r="M79" t="s">
        <v>19</v>
      </c>
      <c r="N79">
        <v>22</v>
      </c>
    </row>
    <row r="80" spans="1:14" x14ac:dyDescent="0.35">
      <c r="A80">
        <v>100079</v>
      </c>
      <c r="B80">
        <v>70412</v>
      </c>
      <c r="C80" t="s">
        <v>122</v>
      </c>
      <c r="D80" t="s">
        <v>15</v>
      </c>
      <c r="E80" t="s">
        <v>26</v>
      </c>
      <c r="F80" t="s">
        <v>54</v>
      </c>
      <c r="G80" t="s">
        <v>18</v>
      </c>
      <c r="H80">
        <v>14487</v>
      </c>
      <c r="I80">
        <v>10351.219999999999</v>
      </c>
      <c r="J80">
        <v>10351.219999999999</v>
      </c>
      <c r="K80">
        <v>4135.78</v>
      </c>
      <c r="L80">
        <v>4135.78</v>
      </c>
      <c r="M80" t="s">
        <v>19</v>
      </c>
      <c r="N80">
        <v>34</v>
      </c>
    </row>
    <row r="81" spans="1:14" x14ac:dyDescent="0.35">
      <c r="A81">
        <v>100080</v>
      </c>
      <c r="B81">
        <v>46645</v>
      </c>
      <c r="C81" t="s">
        <v>107</v>
      </c>
      <c r="D81" t="s">
        <v>15</v>
      </c>
      <c r="E81" t="s">
        <v>31</v>
      </c>
      <c r="F81" t="s">
        <v>35</v>
      </c>
      <c r="G81" t="s">
        <v>24</v>
      </c>
      <c r="H81">
        <v>15966</v>
      </c>
      <c r="I81">
        <v>13142.9</v>
      </c>
      <c r="J81">
        <v>13142.9</v>
      </c>
      <c r="K81">
        <v>2823.1</v>
      </c>
      <c r="L81">
        <v>2823.1</v>
      </c>
      <c r="M81" t="s">
        <v>19</v>
      </c>
      <c r="N81">
        <v>42</v>
      </c>
    </row>
    <row r="82" spans="1:14" x14ac:dyDescent="0.35">
      <c r="A82">
        <v>100081</v>
      </c>
      <c r="B82">
        <v>40760</v>
      </c>
      <c r="C82" t="s">
        <v>123</v>
      </c>
      <c r="D82" t="s">
        <v>52</v>
      </c>
      <c r="E82" t="s">
        <v>16</v>
      </c>
      <c r="F82" t="s">
        <v>54</v>
      </c>
      <c r="G82" t="s">
        <v>18</v>
      </c>
      <c r="H82">
        <v>14508</v>
      </c>
      <c r="I82">
        <v>10968.71</v>
      </c>
      <c r="J82">
        <v>10968.71</v>
      </c>
      <c r="K82">
        <v>3539.29</v>
      </c>
      <c r="L82">
        <v>3539.29</v>
      </c>
      <c r="M82" t="s">
        <v>19</v>
      </c>
      <c r="N82">
        <v>132</v>
      </c>
    </row>
    <row r="83" spans="1:14" x14ac:dyDescent="0.35">
      <c r="A83">
        <v>100082</v>
      </c>
      <c r="B83">
        <v>12151</v>
      </c>
      <c r="C83" t="s">
        <v>124</v>
      </c>
      <c r="D83" t="s">
        <v>21</v>
      </c>
      <c r="E83" t="s">
        <v>43</v>
      </c>
      <c r="F83" t="s">
        <v>17</v>
      </c>
      <c r="G83" t="s">
        <v>45</v>
      </c>
      <c r="H83">
        <v>22473</v>
      </c>
      <c r="I83">
        <v>20682.080000000002</v>
      </c>
      <c r="J83">
        <v>13520.52</v>
      </c>
      <c r="K83">
        <v>1790.92</v>
      </c>
      <c r="L83">
        <v>8952.48</v>
      </c>
      <c r="M83" t="s">
        <v>39</v>
      </c>
      <c r="N83">
        <v>74</v>
      </c>
    </row>
    <row r="84" spans="1:14" x14ac:dyDescent="0.35">
      <c r="A84">
        <v>100083</v>
      </c>
      <c r="B84">
        <v>55867</v>
      </c>
      <c r="C84" t="s">
        <v>125</v>
      </c>
      <c r="D84" t="s">
        <v>15</v>
      </c>
      <c r="E84" t="s">
        <v>37</v>
      </c>
      <c r="F84" t="s">
        <v>23</v>
      </c>
      <c r="G84" t="s">
        <v>72</v>
      </c>
      <c r="H84">
        <v>24458</v>
      </c>
      <c r="I84">
        <v>20129.18</v>
      </c>
      <c r="J84">
        <v>2400.19</v>
      </c>
      <c r="K84">
        <v>4328.82</v>
      </c>
      <c r="L84">
        <v>22057.81</v>
      </c>
      <c r="M84" t="s">
        <v>50</v>
      </c>
      <c r="N84">
        <v>56</v>
      </c>
    </row>
    <row r="85" spans="1:14" x14ac:dyDescent="0.35">
      <c r="A85">
        <v>100084</v>
      </c>
      <c r="B85">
        <v>19746</v>
      </c>
      <c r="C85" t="s">
        <v>126</v>
      </c>
      <c r="D85" t="s">
        <v>21</v>
      </c>
      <c r="E85" t="s">
        <v>43</v>
      </c>
      <c r="F85" t="s">
        <v>23</v>
      </c>
      <c r="G85" t="s">
        <v>72</v>
      </c>
      <c r="H85">
        <v>7079</v>
      </c>
      <c r="I85">
        <v>6370.04</v>
      </c>
      <c r="J85">
        <v>2660.78</v>
      </c>
      <c r="K85">
        <v>708.96</v>
      </c>
      <c r="L85">
        <v>4418.22</v>
      </c>
      <c r="M85" t="s">
        <v>39</v>
      </c>
      <c r="N85">
        <v>130</v>
      </c>
    </row>
    <row r="86" spans="1:14" x14ac:dyDescent="0.35">
      <c r="A86">
        <v>100085</v>
      </c>
      <c r="B86">
        <v>50744</v>
      </c>
      <c r="C86" t="s">
        <v>127</v>
      </c>
      <c r="D86" t="s">
        <v>30</v>
      </c>
      <c r="E86" t="s">
        <v>26</v>
      </c>
      <c r="F86" t="s">
        <v>23</v>
      </c>
      <c r="G86" t="s">
        <v>45</v>
      </c>
      <c r="H86">
        <v>15364</v>
      </c>
      <c r="I86">
        <v>12189.5</v>
      </c>
      <c r="J86">
        <v>8913.11</v>
      </c>
      <c r="K86">
        <v>3174.5</v>
      </c>
      <c r="L86">
        <v>6450.89</v>
      </c>
      <c r="M86" t="s">
        <v>39</v>
      </c>
      <c r="N86">
        <v>109</v>
      </c>
    </row>
    <row r="87" spans="1:14" x14ac:dyDescent="0.35">
      <c r="A87">
        <v>100086</v>
      </c>
      <c r="B87">
        <v>18510</v>
      </c>
      <c r="C87" t="s">
        <v>128</v>
      </c>
      <c r="D87" t="s">
        <v>49</v>
      </c>
      <c r="E87" t="s">
        <v>22</v>
      </c>
      <c r="F87" t="s">
        <v>54</v>
      </c>
      <c r="G87" t="s">
        <v>47</v>
      </c>
      <c r="H87">
        <v>24974</v>
      </c>
      <c r="I87">
        <v>19277.68</v>
      </c>
      <c r="J87">
        <v>2117.2399999999998</v>
      </c>
      <c r="K87">
        <v>5696.32</v>
      </c>
      <c r="L87">
        <v>22856.76</v>
      </c>
      <c r="M87" t="s">
        <v>50</v>
      </c>
      <c r="N87">
        <v>173</v>
      </c>
    </row>
    <row r="88" spans="1:14" x14ac:dyDescent="0.35">
      <c r="A88">
        <v>100087</v>
      </c>
      <c r="B88">
        <v>56826</v>
      </c>
      <c r="C88" t="s">
        <v>129</v>
      </c>
      <c r="D88" t="s">
        <v>21</v>
      </c>
      <c r="E88" t="s">
        <v>56</v>
      </c>
      <c r="F88" t="s">
        <v>32</v>
      </c>
      <c r="G88" t="s">
        <v>47</v>
      </c>
      <c r="H88">
        <v>19437</v>
      </c>
      <c r="I88">
        <v>16871.39</v>
      </c>
      <c r="J88">
        <v>16871.39</v>
      </c>
      <c r="K88">
        <v>2565.61</v>
      </c>
      <c r="L88">
        <v>2565.61</v>
      </c>
      <c r="M88" t="s">
        <v>19</v>
      </c>
      <c r="N88">
        <v>134</v>
      </c>
    </row>
    <row r="89" spans="1:14" x14ac:dyDescent="0.35">
      <c r="A89">
        <v>100088</v>
      </c>
      <c r="B89">
        <v>84326</v>
      </c>
      <c r="C89" t="s">
        <v>130</v>
      </c>
      <c r="D89" t="s">
        <v>34</v>
      </c>
      <c r="E89" t="s">
        <v>31</v>
      </c>
      <c r="F89" t="s">
        <v>44</v>
      </c>
      <c r="G89" t="s">
        <v>72</v>
      </c>
      <c r="H89">
        <v>24876</v>
      </c>
      <c r="I89">
        <v>15170.73</v>
      </c>
      <c r="J89">
        <v>15170.73</v>
      </c>
      <c r="K89">
        <v>9705.27</v>
      </c>
      <c r="L89">
        <v>9705.27</v>
      </c>
      <c r="M89" t="s">
        <v>19</v>
      </c>
      <c r="N89">
        <v>9</v>
      </c>
    </row>
    <row r="90" spans="1:14" x14ac:dyDescent="0.35">
      <c r="A90">
        <v>100089</v>
      </c>
      <c r="B90">
        <v>30213</v>
      </c>
      <c r="C90" t="s">
        <v>131</v>
      </c>
      <c r="D90" t="s">
        <v>65</v>
      </c>
      <c r="E90" t="s">
        <v>16</v>
      </c>
      <c r="F90" t="s">
        <v>35</v>
      </c>
      <c r="G90" t="s">
        <v>28</v>
      </c>
      <c r="H90">
        <v>14618</v>
      </c>
      <c r="I90">
        <v>8761.57</v>
      </c>
      <c r="J90">
        <v>3565.11</v>
      </c>
      <c r="K90">
        <v>5856.43</v>
      </c>
      <c r="L90">
        <v>11052.89</v>
      </c>
      <c r="M90" t="s">
        <v>39</v>
      </c>
      <c r="N90">
        <v>28</v>
      </c>
    </row>
    <row r="91" spans="1:14" x14ac:dyDescent="0.35">
      <c r="A91">
        <v>100090</v>
      </c>
      <c r="B91">
        <v>47191</v>
      </c>
      <c r="C91" t="s">
        <v>132</v>
      </c>
      <c r="D91" t="s">
        <v>30</v>
      </c>
      <c r="E91" t="s">
        <v>31</v>
      </c>
      <c r="F91" t="s">
        <v>44</v>
      </c>
      <c r="G91" t="s">
        <v>18</v>
      </c>
      <c r="H91">
        <v>18737</v>
      </c>
      <c r="I91">
        <v>11239.38</v>
      </c>
      <c r="J91">
        <v>7001.59</v>
      </c>
      <c r="K91">
        <v>7497.62</v>
      </c>
      <c r="L91">
        <v>11735.41</v>
      </c>
      <c r="M91" t="s">
        <v>39</v>
      </c>
      <c r="N91">
        <v>167</v>
      </c>
    </row>
    <row r="92" spans="1:14" x14ac:dyDescent="0.35">
      <c r="A92">
        <v>100091</v>
      </c>
      <c r="B92">
        <v>53483</v>
      </c>
      <c r="C92" t="s">
        <v>133</v>
      </c>
      <c r="D92" t="s">
        <v>30</v>
      </c>
      <c r="E92" t="s">
        <v>26</v>
      </c>
      <c r="F92" t="s">
        <v>54</v>
      </c>
      <c r="G92" t="s">
        <v>18</v>
      </c>
      <c r="H92">
        <v>10044</v>
      </c>
      <c r="I92">
        <v>7321.63</v>
      </c>
      <c r="J92">
        <v>7321.63</v>
      </c>
      <c r="K92">
        <v>2722.37</v>
      </c>
      <c r="L92">
        <v>2722.37</v>
      </c>
      <c r="M92" t="s">
        <v>19</v>
      </c>
      <c r="N92">
        <v>180</v>
      </c>
    </row>
    <row r="93" spans="1:14" x14ac:dyDescent="0.35">
      <c r="A93">
        <v>100092</v>
      </c>
      <c r="B93">
        <v>35403</v>
      </c>
      <c r="C93" t="s">
        <v>134</v>
      </c>
      <c r="D93" t="s">
        <v>15</v>
      </c>
      <c r="E93" t="s">
        <v>22</v>
      </c>
      <c r="F93" t="s">
        <v>27</v>
      </c>
      <c r="G93" t="s">
        <v>38</v>
      </c>
      <c r="H93">
        <v>8316</v>
      </c>
      <c r="I93">
        <v>6821.77</v>
      </c>
      <c r="J93">
        <v>506.89</v>
      </c>
      <c r="K93">
        <v>1494.23</v>
      </c>
      <c r="L93">
        <v>7809.11</v>
      </c>
      <c r="M93" t="s">
        <v>50</v>
      </c>
      <c r="N93">
        <v>139</v>
      </c>
    </row>
    <row r="94" spans="1:14" x14ac:dyDescent="0.35">
      <c r="A94">
        <v>100093</v>
      </c>
      <c r="B94">
        <v>26666</v>
      </c>
      <c r="C94" t="s">
        <v>135</v>
      </c>
      <c r="D94" t="s">
        <v>21</v>
      </c>
      <c r="E94" t="s">
        <v>31</v>
      </c>
      <c r="F94" t="s">
        <v>35</v>
      </c>
      <c r="G94" t="s">
        <v>38</v>
      </c>
      <c r="H94">
        <v>827</v>
      </c>
      <c r="I94">
        <v>593.39</v>
      </c>
      <c r="J94">
        <v>593.39</v>
      </c>
      <c r="K94">
        <v>233.61</v>
      </c>
      <c r="L94">
        <v>233.61</v>
      </c>
      <c r="M94" t="s">
        <v>19</v>
      </c>
      <c r="N94">
        <v>148</v>
      </c>
    </row>
    <row r="95" spans="1:14" x14ac:dyDescent="0.35">
      <c r="A95">
        <v>100094</v>
      </c>
      <c r="B95">
        <v>87667</v>
      </c>
      <c r="C95" t="s">
        <v>136</v>
      </c>
      <c r="D95" t="s">
        <v>30</v>
      </c>
      <c r="E95" t="s">
        <v>43</v>
      </c>
      <c r="F95" t="s">
        <v>35</v>
      </c>
      <c r="G95" t="s">
        <v>24</v>
      </c>
      <c r="H95">
        <v>20618</v>
      </c>
      <c r="I95">
        <v>14355.4</v>
      </c>
      <c r="J95">
        <v>14355.4</v>
      </c>
      <c r="K95">
        <v>6262.6</v>
      </c>
      <c r="L95">
        <v>6262.6</v>
      </c>
      <c r="M95" t="s">
        <v>19</v>
      </c>
      <c r="N95">
        <v>59</v>
      </c>
    </row>
    <row r="96" spans="1:14" x14ac:dyDescent="0.35">
      <c r="A96">
        <v>100095</v>
      </c>
      <c r="B96">
        <v>64659</v>
      </c>
      <c r="C96" t="s">
        <v>137</v>
      </c>
      <c r="D96" t="s">
        <v>30</v>
      </c>
      <c r="E96" t="s">
        <v>56</v>
      </c>
      <c r="F96" t="s">
        <v>44</v>
      </c>
      <c r="G96" t="s">
        <v>18</v>
      </c>
      <c r="H96">
        <v>22826</v>
      </c>
      <c r="I96">
        <v>12971.88</v>
      </c>
      <c r="J96">
        <v>12971.88</v>
      </c>
      <c r="K96">
        <v>9854.1200000000008</v>
      </c>
      <c r="L96">
        <v>9854.1200000000008</v>
      </c>
      <c r="M96" t="s">
        <v>19</v>
      </c>
      <c r="N96">
        <v>1</v>
      </c>
    </row>
    <row r="97" spans="1:14" x14ac:dyDescent="0.35">
      <c r="A97">
        <v>100096</v>
      </c>
      <c r="B97">
        <v>63858</v>
      </c>
      <c r="C97" t="s">
        <v>138</v>
      </c>
      <c r="D97" t="s">
        <v>21</v>
      </c>
      <c r="E97" t="s">
        <v>56</v>
      </c>
      <c r="F97" t="s">
        <v>35</v>
      </c>
      <c r="G97" t="s">
        <v>47</v>
      </c>
      <c r="H97">
        <v>14583</v>
      </c>
      <c r="I97">
        <v>12205.98</v>
      </c>
      <c r="J97">
        <v>12205.98</v>
      </c>
      <c r="K97">
        <v>2377.02</v>
      </c>
      <c r="L97">
        <v>2377.02</v>
      </c>
      <c r="M97" t="s">
        <v>19</v>
      </c>
      <c r="N97">
        <v>12</v>
      </c>
    </row>
    <row r="98" spans="1:14" x14ac:dyDescent="0.35">
      <c r="A98">
        <v>100097</v>
      </c>
      <c r="B98">
        <v>99389</v>
      </c>
      <c r="C98" t="s">
        <v>139</v>
      </c>
      <c r="D98" t="s">
        <v>65</v>
      </c>
      <c r="E98" t="s">
        <v>16</v>
      </c>
      <c r="F98" t="s">
        <v>17</v>
      </c>
      <c r="G98" t="s">
        <v>72</v>
      </c>
      <c r="H98">
        <v>11359</v>
      </c>
      <c r="I98">
        <v>9722.23</v>
      </c>
      <c r="J98">
        <v>9722.23</v>
      </c>
      <c r="K98">
        <v>1636.77</v>
      </c>
      <c r="L98">
        <v>1636.77</v>
      </c>
      <c r="M98" t="s">
        <v>19</v>
      </c>
      <c r="N98">
        <v>133</v>
      </c>
    </row>
    <row r="99" spans="1:14" x14ac:dyDescent="0.35">
      <c r="A99">
        <v>100098</v>
      </c>
      <c r="B99">
        <v>47149</v>
      </c>
      <c r="C99" t="s">
        <v>140</v>
      </c>
      <c r="D99" t="s">
        <v>21</v>
      </c>
      <c r="E99" t="s">
        <v>31</v>
      </c>
      <c r="F99" t="s">
        <v>61</v>
      </c>
      <c r="G99" t="s">
        <v>38</v>
      </c>
      <c r="H99">
        <v>9720</v>
      </c>
      <c r="I99">
        <v>5584.99</v>
      </c>
      <c r="J99">
        <v>5584.99</v>
      </c>
      <c r="K99">
        <v>4135.01</v>
      </c>
      <c r="L99">
        <v>4135.01</v>
      </c>
      <c r="M99" t="s">
        <v>19</v>
      </c>
      <c r="N99">
        <v>104</v>
      </c>
    </row>
    <row r="100" spans="1:14" x14ac:dyDescent="0.35">
      <c r="A100">
        <v>100099</v>
      </c>
      <c r="B100">
        <v>56464</v>
      </c>
      <c r="C100" t="s">
        <v>141</v>
      </c>
      <c r="D100" t="s">
        <v>52</v>
      </c>
      <c r="E100" t="s">
        <v>16</v>
      </c>
      <c r="F100" t="s">
        <v>35</v>
      </c>
      <c r="G100" t="s">
        <v>38</v>
      </c>
      <c r="H100">
        <v>14007</v>
      </c>
      <c r="I100">
        <v>7737.66</v>
      </c>
      <c r="J100">
        <v>7737.66</v>
      </c>
      <c r="K100">
        <v>6269.34</v>
      </c>
      <c r="L100">
        <v>6269.34</v>
      </c>
      <c r="M100" t="s">
        <v>19</v>
      </c>
      <c r="N100">
        <v>98</v>
      </c>
    </row>
    <row r="101" spans="1:14" x14ac:dyDescent="0.35">
      <c r="A101">
        <v>100100</v>
      </c>
      <c r="B101">
        <v>73705</v>
      </c>
      <c r="C101" t="s">
        <v>139</v>
      </c>
      <c r="D101" t="s">
        <v>30</v>
      </c>
      <c r="E101" t="s">
        <v>37</v>
      </c>
      <c r="F101" t="s">
        <v>54</v>
      </c>
      <c r="G101" t="s">
        <v>28</v>
      </c>
      <c r="H101">
        <v>2555</v>
      </c>
      <c r="I101">
        <v>2296.08</v>
      </c>
      <c r="J101">
        <v>2296.08</v>
      </c>
      <c r="K101">
        <v>258.92</v>
      </c>
      <c r="L101">
        <v>258.92</v>
      </c>
      <c r="M101" t="s">
        <v>19</v>
      </c>
      <c r="N101">
        <v>142</v>
      </c>
    </row>
    <row r="102" spans="1:14" x14ac:dyDescent="0.35">
      <c r="A102">
        <v>100101</v>
      </c>
      <c r="B102">
        <v>75117</v>
      </c>
      <c r="C102" t="s">
        <v>142</v>
      </c>
      <c r="D102" t="s">
        <v>49</v>
      </c>
      <c r="E102" t="s">
        <v>37</v>
      </c>
      <c r="F102" t="s">
        <v>17</v>
      </c>
      <c r="G102" t="s">
        <v>24</v>
      </c>
      <c r="H102">
        <v>4093</v>
      </c>
      <c r="I102">
        <v>3837.26</v>
      </c>
      <c r="J102">
        <v>0</v>
      </c>
      <c r="K102">
        <v>255.74</v>
      </c>
      <c r="L102">
        <v>4093</v>
      </c>
      <c r="M102" t="s">
        <v>62</v>
      </c>
      <c r="N102">
        <v>153</v>
      </c>
    </row>
    <row r="103" spans="1:14" x14ac:dyDescent="0.35">
      <c r="A103">
        <v>100102</v>
      </c>
      <c r="B103">
        <v>48415</v>
      </c>
      <c r="C103" t="s">
        <v>143</v>
      </c>
      <c r="D103" t="s">
        <v>52</v>
      </c>
      <c r="E103" t="s">
        <v>43</v>
      </c>
      <c r="F103" t="s">
        <v>61</v>
      </c>
      <c r="G103" t="s">
        <v>72</v>
      </c>
      <c r="H103">
        <v>10421</v>
      </c>
      <c r="I103">
        <v>6216.07</v>
      </c>
      <c r="J103">
        <v>3016.77</v>
      </c>
      <c r="K103">
        <v>4204.93</v>
      </c>
      <c r="L103">
        <v>7404.23</v>
      </c>
      <c r="M103" t="s">
        <v>39</v>
      </c>
      <c r="N103">
        <v>11</v>
      </c>
    </row>
    <row r="104" spans="1:14" x14ac:dyDescent="0.35">
      <c r="A104">
        <v>100103</v>
      </c>
      <c r="B104">
        <v>68014</v>
      </c>
      <c r="C104" t="s">
        <v>144</v>
      </c>
      <c r="D104" t="s">
        <v>15</v>
      </c>
      <c r="E104" t="s">
        <v>26</v>
      </c>
      <c r="F104" t="s">
        <v>32</v>
      </c>
      <c r="G104" t="s">
        <v>38</v>
      </c>
      <c r="H104">
        <v>12361</v>
      </c>
      <c r="I104">
        <v>9698.56</v>
      </c>
      <c r="J104">
        <v>1656.42</v>
      </c>
      <c r="K104">
        <v>2662.44</v>
      </c>
      <c r="L104">
        <v>10704.58</v>
      </c>
      <c r="M104" t="s">
        <v>50</v>
      </c>
      <c r="N104">
        <v>76</v>
      </c>
    </row>
    <row r="105" spans="1:14" x14ac:dyDescent="0.35">
      <c r="A105">
        <v>100104</v>
      </c>
      <c r="B105">
        <v>22777</v>
      </c>
      <c r="C105" t="s">
        <v>145</v>
      </c>
      <c r="D105" t="s">
        <v>52</v>
      </c>
      <c r="E105" t="s">
        <v>16</v>
      </c>
      <c r="F105" t="s">
        <v>17</v>
      </c>
      <c r="G105" t="s">
        <v>47</v>
      </c>
      <c r="H105">
        <v>6284</v>
      </c>
      <c r="I105">
        <v>4776.09</v>
      </c>
      <c r="J105">
        <v>4776.09</v>
      </c>
      <c r="K105">
        <v>1507.91</v>
      </c>
      <c r="L105">
        <v>1507.91</v>
      </c>
      <c r="M105" t="s">
        <v>19</v>
      </c>
      <c r="N105">
        <v>147</v>
      </c>
    </row>
    <row r="106" spans="1:14" x14ac:dyDescent="0.35">
      <c r="A106">
        <v>100105</v>
      </c>
      <c r="B106">
        <v>30524</v>
      </c>
      <c r="C106" t="s">
        <v>141</v>
      </c>
      <c r="D106" t="s">
        <v>52</v>
      </c>
      <c r="E106" t="s">
        <v>26</v>
      </c>
      <c r="F106" t="s">
        <v>27</v>
      </c>
      <c r="G106" t="s">
        <v>18</v>
      </c>
      <c r="H106">
        <v>17926</v>
      </c>
      <c r="I106">
        <v>13021.23</v>
      </c>
      <c r="J106">
        <v>13021.23</v>
      </c>
      <c r="K106">
        <v>4904.7700000000004</v>
      </c>
      <c r="L106">
        <v>4904.7700000000004</v>
      </c>
      <c r="M106" t="s">
        <v>19</v>
      </c>
      <c r="N106">
        <v>109</v>
      </c>
    </row>
    <row r="107" spans="1:14" x14ac:dyDescent="0.35">
      <c r="A107">
        <v>100106</v>
      </c>
      <c r="B107">
        <v>31479</v>
      </c>
      <c r="C107" t="s">
        <v>83</v>
      </c>
      <c r="D107" t="s">
        <v>15</v>
      </c>
      <c r="E107" t="s">
        <v>56</v>
      </c>
      <c r="F107" t="s">
        <v>32</v>
      </c>
      <c r="G107" t="s">
        <v>38</v>
      </c>
      <c r="H107">
        <v>19941</v>
      </c>
      <c r="I107">
        <v>11706.2</v>
      </c>
      <c r="J107">
        <v>11706.2</v>
      </c>
      <c r="K107">
        <v>8234.7999999999993</v>
      </c>
      <c r="L107">
        <v>8234.7999999999993</v>
      </c>
      <c r="M107" t="s">
        <v>19</v>
      </c>
      <c r="N107">
        <v>76</v>
      </c>
    </row>
    <row r="108" spans="1:14" x14ac:dyDescent="0.35">
      <c r="A108">
        <v>100107</v>
      </c>
      <c r="B108">
        <v>75495</v>
      </c>
      <c r="C108" t="s">
        <v>146</v>
      </c>
      <c r="D108" t="s">
        <v>15</v>
      </c>
      <c r="E108" t="s">
        <v>16</v>
      </c>
      <c r="F108" t="s">
        <v>23</v>
      </c>
      <c r="G108" t="s">
        <v>47</v>
      </c>
      <c r="H108">
        <v>8834</v>
      </c>
      <c r="I108">
        <v>7663.64</v>
      </c>
      <c r="J108">
        <v>7663.64</v>
      </c>
      <c r="K108">
        <v>1170.3599999999999</v>
      </c>
      <c r="L108">
        <v>1170.3599999999999</v>
      </c>
      <c r="M108" t="s">
        <v>19</v>
      </c>
      <c r="N108">
        <v>118</v>
      </c>
    </row>
    <row r="109" spans="1:14" x14ac:dyDescent="0.35">
      <c r="A109">
        <v>100108</v>
      </c>
      <c r="B109">
        <v>66524</v>
      </c>
      <c r="C109" t="s">
        <v>147</v>
      </c>
      <c r="D109" t="s">
        <v>49</v>
      </c>
      <c r="E109" t="s">
        <v>37</v>
      </c>
      <c r="F109" t="s">
        <v>54</v>
      </c>
      <c r="G109" t="s">
        <v>28</v>
      </c>
      <c r="H109">
        <v>9328</v>
      </c>
      <c r="I109">
        <v>7414.47</v>
      </c>
      <c r="J109">
        <v>7414.47</v>
      </c>
      <c r="K109">
        <v>1913.53</v>
      </c>
      <c r="L109">
        <v>1913.53</v>
      </c>
      <c r="M109" t="s">
        <v>19</v>
      </c>
      <c r="N109">
        <v>178</v>
      </c>
    </row>
    <row r="110" spans="1:14" x14ac:dyDescent="0.35">
      <c r="A110">
        <v>100109</v>
      </c>
      <c r="B110">
        <v>84226</v>
      </c>
      <c r="C110" t="s">
        <v>148</v>
      </c>
      <c r="D110" t="s">
        <v>52</v>
      </c>
      <c r="E110" t="s">
        <v>43</v>
      </c>
      <c r="F110" t="s">
        <v>32</v>
      </c>
      <c r="G110" t="s">
        <v>28</v>
      </c>
      <c r="H110">
        <v>5860</v>
      </c>
      <c r="I110">
        <v>3363.94</v>
      </c>
      <c r="J110">
        <v>3363.94</v>
      </c>
      <c r="K110">
        <v>2496.06</v>
      </c>
      <c r="L110">
        <v>2496.06</v>
      </c>
      <c r="M110" t="s">
        <v>19</v>
      </c>
      <c r="N110">
        <v>31</v>
      </c>
    </row>
    <row r="111" spans="1:14" x14ac:dyDescent="0.35">
      <c r="A111">
        <v>100110</v>
      </c>
      <c r="B111">
        <v>28571</v>
      </c>
      <c r="C111" t="s">
        <v>119</v>
      </c>
      <c r="D111" t="s">
        <v>21</v>
      </c>
      <c r="E111" t="s">
        <v>22</v>
      </c>
      <c r="F111" t="s">
        <v>35</v>
      </c>
      <c r="G111" t="s">
        <v>24</v>
      </c>
      <c r="H111">
        <v>17879</v>
      </c>
      <c r="I111">
        <v>13076.22</v>
      </c>
      <c r="J111">
        <v>11732.75</v>
      </c>
      <c r="K111">
        <v>4802.78</v>
      </c>
      <c r="L111">
        <v>6146.25</v>
      </c>
      <c r="M111" t="s">
        <v>39</v>
      </c>
      <c r="N111">
        <v>138</v>
      </c>
    </row>
    <row r="112" spans="1:14" x14ac:dyDescent="0.35">
      <c r="A112">
        <v>100111</v>
      </c>
      <c r="B112">
        <v>33424</v>
      </c>
      <c r="C112" t="s">
        <v>149</v>
      </c>
      <c r="D112" t="s">
        <v>34</v>
      </c>
      <c r="E112" t="s">
        <v>22</v>
      </c>
      <c r="F112" t="s">
        <v>61</v>
      </c>
      <c r="G112" t="s">
        <v>72</v>
      </c>
      <c r="H112">
        <v>24498</v>
      </c>
      <c r="I112">
        <v>17601.099999999999</v>
      </c>
      <c r="J112">
        <v>17601.099999999999</v>
      </c>
      <c r="K112">
        <v>6896.9</v>
      </c>
      <c r="L112">
        <v>6896.9</v>
      </c>
      <c r="M112" t="s">
        <v>19</v>
      </c>
      <c r="N112">
        <v>119</v>
      </c>
    </row>
    <row r="113" spans="1:14" x14ac:dyDescent="0.35">
      <c r="A113">
        <v>100112</v>
      </c>
      <c r="B113">
        <v>58334</v>
      </c>
      <c r="C113" t="s">
        <v>150</v>
      </c>
      <c r="D113" t="s">
        <v>34</v>
      </c>
      <c r="E113" t="s">
        <v>37</v>
      </c>
      <c r="F113" t="s">
        <v>54</v>
      </c>
      <c r="G113" t="s">
        <v>18</v>
      </c>
      <c r="H113">
        <v>12208</v>
      </c>
      <c r="I113">
        <v>11168.07</v>
      </c>
      <c r="J113">
        <v>11168.07</v>
      </c>
      <c r="K113">
        <v>1039.93</v>
      </c>
      <c r="L113">
        <v>1039.93</v>
      </c>
      <c r="M113" t="s">
        <v>19</v>
      </c>
      <c r="N113">
        <v>172</v>
      </c>
    </row>
    <row r="114" spans="1:14" x14ac:dyDescent="0.35">
      <c r="A114">
        <v>100113</v>
      </c>
      <c r="B114">
        <v>89448</v>
      </c>
      <c r="C114" t="s">
        <v>79</v>
      </c>
      <c r="D114" t="s">
        <v>15</v>
      </c>
      <c r="E114" t="s">
        <v>41</v>
      </c>
      <c r="F114" t="s">
        <v>61</v>
      </c>
      <c r="G114" t="s">
        <v>28</v>
      </c>
      <c r="H114">
        <v>20446</v>
      </c>
      <c r="I114">
        <v>15411.82</v>
      </c>
      <c r="J114">
        <v>15411.82</v>
      </c>
      <c r="K114">
        <v>5034.18</v>
      </c>
      <c r="L114">
        <v>5034.18</v>
      </c>
      <c r="M114" t="s">
        <v>19</v>
      </c>
      <c r="N114">
        <v>79</v>
      </c>
    </row>
    <row r="115" spans="1:14" x14ac:dyDescent="0.35">
      <c r="A115">
        <v>100114</v>
      </c>
      <c r="B115">
        <v>52423</v>
      </c>
      <c r="C115" t="s">
        <v>151</v>
      </c>
      <c r="D115" t="s">
        <v>49</v>
      </c>
      <c r="E115" t="s">
        <v>56</v>
      </c>
      <c r="F115" t="s">
        <v>44</v>
      </c>
      <c r="G115" t="s">
        <v>45</v>
      </c>
      <c r="H115">
        <v>11074</v>
      </c>
      <c r="I115">
        <v>9306.24</v>
      </c>
      <c r="J115">
        <v>9306.24</v>
      </c>
      <c r="K115">
        <v>1767.76</v>
      </c>
      <c r="L115">
        <v>1767.76</v>
      </c>
      <c r="M115" t="s">
        <v>19</v>
      </c>
      <c r="N115">
        <v>154</v>
      </c>
    </row>
    <row r="116" spans="1:14" x14ac:dyDescent="0.35">
      <c r="A116">
        <v>100115</v>
      </c>
      <c r="B116">
        <v>73171</v>
      </c>
      <c r="C116" t="s">
        <v>152</v>
      </c>
      <c r="D116" t="s">
        <v>65</v>
      </c>
      <c r="E116" t="s">
        <v>56</v>
      </c>
      <c r="F116" t="s">
        <v>54</v>
      </c>
      <c r="G116" t="s">
        <v>18</v>
      </c>
      <c r="H116">
        <v>4270</v>
      </c>
      <c r="I116">
        <v>3737.21</v>
      </c>
      <c r="J116">
        <v>2429.94</v>
      </c>
      <c r="K116">
        <v>532.79</v>
      </c>
      <c r="L116">
        <v>1840.06</v>
      </c>
      <c r="M116" t="s">
        <v>39</v>
      </c>
      <c r="N116">
        <v>123</v>
      </c>
    </row>
    <row r="117" spans="1:14" x14ac:dyDescent="0.35">
      <c r="A117">
        <v>100116</v>
      </c>
      <c r="B117">
        <v>10692</v>
      </c>
      <c r="C117" t="s">
        <v>153</v>
      </c>
      <c r="D117" t="s">
        <v>49</v>
      </c>
      <c r="E117" t="s">
        <v>41</v>
      </c>
      <c r="F117" t="s">
        <v>54</v>
      </c>
      <c r="G117" t="s">
        <v>47</v>
      </c>
      <c r="H117">
        <v>1710</v>
      </c>
      <c r="I117">
        <v>1457.47</v>
      </c>
      <c r="J117">
        <v>774.6</v>
      </c>
      <c r="K117">
        <v>252.53</v>
      </c>
      <c r="L117">
        <v>935.4</v>
      </c>
      <c r="M117" t="s">
        <v>39</v>
      </c>
      <c r="N117">
        <v>81</v>
      </c>
    </row>
    <row r="118" spans="1:14" x14ac:dyDescent="0.35">
      <c r="A118">
        <v>100117</v>
      </c>
      <c r="B118">
        <v>80525</v>
      </c>
      <c r="C118" t="s">
        <v>154</v>
      </c>
      <c r="D118" t="s">
        <v>30</v>
      </c>
      <c r="E118" t="s">
        <v>37</v>
      </c>
      <c r="F118" t="s">
        <v>54</v>
      </c>
      <c r="G118" t="s">
        <v>28</v>
      </c>
      <c r="H118">
        <v>9595</v>
      </c>
      <c r="I118">
        <v>8316.33</v>
      </c>
      <c r="J118">
        <v>0</v>
      </c>
      <c r="K118">
        <v>1278.67</v>
      </c>
      <c r="L118">
        <v>9595</v>
      </c>
      <c r="M118" t="s">
        <v>62</v>
      </c>
      <c r="N118">
        <v>148</v>
      </c>
    </row>
    <row r="119" spans="1:14" x14ac:dyDescent="0.35">
      <c r="A119">
        <v>100118</v>
      </c>
      <c r="B119">
        <v>99159</v>
      </c>
      <c r="C119" t="s">
        <v>155</v>
      </c>
      <c r="D119" t="s">
        <v>34</v>
      </c>
      <c r="E119" t="s">
        <v>37</v>
      </c>
      <c r="F119" t="s">
        <v>35</v>
      </c>
      <c r="G119" t="s">
        <v>18</v>
      </c>
      <c r="H119">
        <v>717</v>
      </c>
      <c r="I119">
        <v>586.11</v>
      </c>
      <c r="J119">
        <v>521.30999999999995</v>
      </c>
      <c r="K119">
        <v>130.88999999999999</v>
      </c>
      <c r="L119">
        <v>195.69</v>
      </c>
      <c r="M119" t="s">
        <v>39</v>
      </c>
      <c r="N119">
        <v>28</v>
      </c>
    </row>
    <row r="120" spans="1:14" x14ac:dyDescent="0.35">
      <c r="A120">
        <v>100119</v>
      </c>
      <c r="B120">
        <v>46598</v>
      </c>
      <c r="C120" t="s">
        <v>103</v>
      </c>
      <c r="D120" t="s">
        <v>34</v>
      </c>
      <c r="E120" t="s">
        <v>31</v>
      </c>
      <c r="F120" t="s">
        <v>44</v>
      </c>
      <c r="G120" t="s">
        <v>28</v>
      </c>
      <c r="H120">
        <v>17954</v>
      </c>
      <c r="I120">
        <v>16993.34</v>
      </c>
      <c r="J120">
        <v>16993.34</v>
      </c>
      <c r="K120">
        <v>960.66</v>
      </c>
      <c r="L120">
        <v>960.66</v>
      </c>
      <c r="M120" t="s">
        <v>19</v>
      </c>
      <c r="N120">
        <v>67</v>
      </c>
    </row>
    <row r="121" spans="1:14" x14ac:dyDescent="0.35">
      <c r="A121">
        <v>100120</v>
      </c>
      <c r="B121">
        <v>98348</v>
      </c>
      <c r="C121" t="s">
        <v>156</v>
      </c>
      <c r="D121" t="s">
        <v>30</v>
      </c>
      <c r="E121" t="s">
        <v>41</v>
      </c>
      <c r="F121" t="s">
        <v>32</v>
      </c>
      <c r="G121" t="s">
        <v>45</v>
      </c>
      <c r="H121">
        <v>6148</v>
      </c>
      <c r="I121">
        <v>3700.31</v>
      </c>
      <c r="J121">
        <v>3700.31</v>
      </c>
      <c r="K121">
        <v>2447.69</v>
      </c>
      <c r="L121">
        <v>2447.69</v>
      </c>
      <c r="M121" t="s">
        <v>19</v>
      </c>
      <c r="N121">
        <v>83</v>
      </c>
    </row>
    <row r="122" spans="1:14" x14ac:dyDescent="0.35">
      <c r="A122">
        <v>100121</v>
      </c>
      <c r="B122">
        <v>44046</v>
      </c>
      <c r="C122" t="s">
        <v>157</v>
      </c>
      <c r="D122" t="s">
        <v>49</v>
      </c>
      <c r="E122" t="s">
        <v>26</v>
      </c>
      <c r="F122" t="s">
        <v>54</v>
      </c>
      <c r="G122" t="s">
        <v>38</v>
      </c>
      <c r="H122">
        <v>14993</v>
      </c>
      <c r="I122">
        <v>9717.89</v>
      </c>
      <c r="J122">
        <v>9717.89</v>
      </c>
      <c r="K122">
        <v>5275.11</v>
      </c>
      <c r="L122">
        <v>5275.11</v>
      </c>
      <c r="M122" t="s">
        <v>19</v>
      </c>
      <c r="N122">
        <v>74</v>
      </c>
    </row>
    <row r="123" spans="1:14" x14ac:dyDescent="0.35">
      <c r="A123">
        <v>100122</v>
      </c>
      <c r="B123">
        <v>71052</v>
      </c>
      <c r="C123" t="s">
        <v>158</v>
      </c>
      <c r="D123" t="s">
        <v>30</v>
      </c>
      <c r="E123" t="s">
        <v>31</v>
      </c>
      <c r="F123" t="s">
        <v>61</v>
      </c>
      <c r="G123" t="s">
        <v>28</v>
      </c>
      <c r="H123">
        <v>278</v>
      </c>
      <c r="I123">
        <v>243.33</v>
      </c>
      <c r="J123">
        <v>243.33</v>
      </c>
      <c r="K123">
        <v>34.67</v>
      </c>
      <c r="L123">
        <v>34.67</v>
      </c>
      <c r="M123" t="s">
        <v>19</v>
      </c>
      <c r="N123">
        <v>9</v>
      </c>
    </row>
    <row r="124" spans="1:14" x14ac:dyDescent="0.35">
      <c r="A124">
        <v>100123</v>
      </c>
      <c r="B124">
        <v>52065</v>
      </c>
      <c r="C124" t="s">
        <v>159</v>
      </c>
      <c r="D124" t="s">
        <v>34</v>
      </c>
      <c r="E124" t="s">
        <v>37</v>
      </c>
      <c r="F124" t="s">
        <v>32</v>
      </c>
      <c r="G124" t="s">
        <v>18</v>
      </c>
      <c r="H124">
        <v>22233</v>
      </c>
      <c r="I124">
        <v>12237.74</v>
      </c>
      <c r="J124">
        <v>0</v>
      </c>
      <c r="K124">
        <v>9995.26</v>
      </c>
      <c r="L124">
        <v>22233</v>
      </c>
      <c r="M124" t="s">
        <v>62</v>
      </c>
      <c r="N124">
        <v>61</v>
      </c>
    </row>
    <row r="125" spans="1:14" x14ac:dyDescent="0.35">
      <c r="A125">
        <v>100124</v>
      </c>
      <c r="B125">
        <v>74172</v>
      </c>
      <c r="C125" t="s">
        <v>160</v>
      </c>
      <c r="D125" t="s">
        <v>34</v>
      </c>
      <c r="E125" t="s">
        <v>26</v>
      </c>
      <c r="F125" t="s">
        <v>17</v>
      </c>
      <c r="G125" t="s">
        <v>28</v>
      </c>
      <c r="H125">
        <v>5379</v>
      </c>
      <c r="I125">
        <v>4868.4799999999996</v>
      </c>
      <c r="J125">
        <v>4868.4799999999996</v>
      </c>
      <c r="K125">
        <v>510.52</v>
      </c>
      <c r="L125">
        <v>510.52</v>
      </c>
      <c r="M125" t="s">
        <v>19</v>
      </c>
      <c r="N125">
        <v>169</v>
      </c>
    </row>
    <row r="126" spans="1:14" x14ac:dyDescent="0.35">
      <c r="A126">
        <v>100125</v>
      </c>
      <c r="B126">
        <v>46778</v>
      </c>
      <c r="C126" t="s">
        <v>161</v>
      </c>
      <c r="D126" t="s">
        <v>65</v>
      </c>
      <c r="E126" t="s">
        <v>26</v>
      </c>
      <c r="F126" t="s">
        <v>27</v>
      </c>
      <c r="G126" t="s">
        <v>45</v>
      </c>
      <c r="H126">
        <v>15402</v>
      </c>
      <c r="I126">
        <v>11150.7</v>
      </c>
      <c r="J126">
        <v>6396.68</v>
      </c>
      <c r="K126">
        <v>4251.3</v>
      </c>
      <c r="L126">
        <v>9005.32</v>
      </c>
      <c r="M126" t="s">
        <v>39</v>
      </c>
      <c r="N126">
        <v>97</v>
      </c>
    </row>
    <row r="127" spans="1:14" x14ac:dyDescent="0.35">
      <c r="A127">
        <v>100126</v>
      </c>
      <c r="B127">
        <v>87241</v>
      </c>
      <c r="C127" t="s">
        <v>162</v>
      </c>
      <c r="D127" t="s">
        <v>30</v>
      </c>
      <c r="E127" t="s">
        <v>16</v>
      </c>
      <c r="F127" t="s">
        <v>35</v>
      </c>
      <c r="G127" t="s">
        <v>38</v>
      </c>
      <c r="H127">
        <v>6978</v>
      </c>
      <c r="I127">
        <v>4111.54</v>
      </c>
      <c r="J127">
        <v>2498</v>
      </c>
      <c r="K127">
        <v>2866.46</v>
      </c>
      <c r="L127">
        <v>4480</v>
      </c>
      <c r="M127" t="s">
        <v>39</v>
      </c>
      <c r="N127">
        <v>77</v>
      </c>
    </row>
    <row r="128" spans="1:14" x14ac:dyDescent="0.35">
      <c r="A128">
        <v>100127</v>
      </c>
      <c r="B128">
        <v>86384</v>
      </c>
      <c r="C128" t="s">
        <v>163</v>
      </c>
      <c r="D128" t="s">
        <v>30</v>
      </c>
      <c r="E128" t="s">
        <v>43</v>
      </c>
      <c r="F128" t="s">
        <v>32</v>
      </c>
      <c r="G128" t="s">
        <v>38</v>
      </c>
      <c r="H128">
        <v>17855</v>
      </c>
      <c r="I128">
        <v>12557.07</v>
      </c>
      <c r="J128">
        <v>12557.07</v>
      </c>
      <c r="K128">
        <v>5297.93</v>
      </c>
      <c r="L128">
        <v>5297.93</v>
      </c>
      <c r="M128" t="s">
        <v>19</v>
      </c>
      <c r="N128">
        <v>155</v>
      </c>
    </row>
    <row r="129" spans="1:14" x14ac:dyDescent="0.35">
      <c r="A129">
        <v>100128</v>
      </c>
      <c r="B129">
        <v>23874</v>
      </c>
      <c r="C129" t="s">
        <v>164</v>
      </c>
      <c r="D129" t="s">
        <v>34</v>
      </c>
      <c r="E129" t="s">
        <v>37</v>
      </c>
      <c r="F129" t="s">
        <v>44</v>
      </c>
      <c r="G129" t="s">
        <v>18</v>
      </c>
      <c r="H129">
        <v>2909</v>
      </c>
      <c r="I129">
        <v>1684.01</v>
      </c>
      <c r="J129">
        <v>1684.01</v>
      </c>
      <c r="K129">
        <v>1224.99</v>
      </c>
      <c r="L129">
        <v>1224.99</v>
      </c>
      <c r="M129" t="s">
        <v>19</v>
      </c>
      <c r="N129">
        <v>103</v>
      </c>
    </row>
    <row r="130" spans="1:14" x14ac:dyDescent="0.35">
      <c r="A130">
        <v>100129</v>
      </c>
      <c r="B130">
        <v>25477</v>
      </c>
      <c r="C130" t="s">
        <v>165</v>
      </c>
      <c r="D130" t="s">
        <v>34</v>
      </c>
      <c r="E130" t="s">
        <v>22</v>
      </c>
      <c r="F130" t="s">
        <v>61</v>
      </c>
      <c r="G130" t="s">
        <v>45</v>
      </c>
      <c r="H130">
        <v>21069</v>
      </c>
      <c r="I130">
        <v>11879.58</v>
      </c>
      <c r="J130">
        <v>11879.58</v>
      </c>
      <c r="K130">
        <v>9189.42</v>
      </c>
      <c r="L130">
        <v>9189.42</v>
      </c>
      <c r="M130" t="s">
        <v>19</v>
      </c>
      <c r="N130">
        <v>81</v>
      </c>
    </row>
    <row r="131" spans="1:14" x14ac:dyDescent="0.35">
      <c r="A131">
        <v>100130</v>
      </c>
      <c r="B131">
        <v>52909</v>
      </c>
      <c r="C131" t="s">
        <v>96</v>
      </c>
      <c r="D131" t="s">
        <v>52</v>
      </c>
      <c r="E131" t="s">
        <v>22</v>
      </c>
      <c r="F131" t="s">
        <v>61</v>
      </c>
      <c r="G131" t="s">
        <v>38</v>
      </c>
      <c r="H131">
        <v>1834</v>
      </c>
      <c r="I131">
        <v>1345.52</v>
      </c>
      <c r="J131">
        <v>1345.52</v>
      </c>
      <c r="K131">
        <v>488.48</v>
      </c>
      <c r="L131">
        <v>488.48</v>
      </c>
      <c r="M131" t="s">
        <v>19</v>
      </c>
      <c r="N131">
        <v>61</v>
      </c>
    </row>
    <row r="132" spans="1:14" x14ac:dyDescent="0.35">
      <c r="A132">
        <v>100131</v>
      </c>
      <c r="B132">
        <v>24235</v>
      </c>
      <c r="C132" t="s">
        <v>166</v>
      </c>
      <c r="D132" t="s">
        <v>34</v>
      </c>
      <c r="E132" t="s">
        <v>37</v>
      </c>
      <c r="F132" t="s">
        <v>23</v>
      </c>
      <c r="G132" t="s">
        <v>45</v>
      </c>
      <c r="H132">
        <v>13086</v>
      </c>
      <c r="I132">
        <v>8909.41</v>
      </c>
      <c r="J132">
        <v>0</v>
      </c>
      <c r="K132">
        <v>4176.59</v>
      </c>
      <c r="L132">
        <v>13086</v>
      </c>
      <c r="M132" t="s">
        <v>62</v>
      </c>
      <c r="N132">
        <v>123</v>
      </c>
    </row>
    <row r="133" spans="1:14" x14ac:dyDescent="0.35">
      <c r="A133">
        <v>100132</v>
      </c>
      <c r="B133">
        <v>30310</v>
      </c>
      <c r="C133" t="s">
        <v>66</v>
      </c>
      <c r="D133" t="s">
        <v>30</v>
      </c>
      <c r="E133" t="s">
        <v>31</v>
      </c>
      <c r="F133" t="s">
        <v>54</v>
      </c>
      <c r="G133" t="s">
        <v>45</v>
      </c>
      <c r="H133">
        <v>8008</v>
      </c>
      <c r="I133">
        <v>5632.9</v>
      </c>
      <c r="J133">
        <v>5632.9</v>
      </c>
      <c r="K133">
        <v>2375.1</v>
      </c>
      <c r="L133">
        <v>2375.1</v>
      </c>
      <c r="M133" t="s">
        <v>19</v>
      </c>
      <c r="N133">
        <v>88</v>
      </c>
    </row>
    <row r="134" spans="1:14" x14ac:dyDescent="0.35">
      <c r="A134">
        <v>100133</v>
      </c>
      <c r="B134">
        <v>94852</v>
      </c>
      <c r="C134" t="s">
        <v>167</v>
      </c>
      <c r="D134" t="s">
        <v>52</v>
      </c>
      <c r="E134" t="s">
        <v>43</v>
      </c>
      <c r="F134" t="s">
        <v>23</v>
      </c>
      <c r="G134" t="s">
        <v>18</v>
      </c>
      <c r="H134">
        <v>24169</v>
      </c>
      <c r="I134">
        <v>14501.6</v>
      </c>
      <c r="J134">
        <v>14501.6</v>
      </c>
      <c r="K134">
        <v>9667.4</v>
      </c>
      <c r="L134">
        <v>9667.4</v>
      </c>
      <c r="M134" t="s">
        <v>19</v>
      </c>
      <c r="N134">
        <v>17</v>
      </c>
    </row>
    <row r="135" spans="1:14" x14ac:dyDescent="0.35">
      <c r="A135">
        <v>100134</v>
      </c>
      <c r="B135">
        <v>21433</v>
      </c>
      <c r="C135" t="s">
        <v>168</v>
      </c>
      <c r="D135" t="s">
        <v>65</v>
      </c>
      <c r="E135" t="s">
        <v>16</v>
      </c>
      <c r="F135" t="s">
        <v>44</v>
      </c>
      <c r="G135" t="s">
        <v>47</v>
      </c>
      <c r="H135">
        <v>22483</v>
      </c>
      <c r="I135">
        <v>19039.02</v>
      </c>
      <c r="J135">
        <v>0</v>
      </c>
      <c r="K135">
        <v>3443.98</v>
      </c>
      <c r="L135">
        <v>22483</v>
      </c>
      <c r="M135" t="s">
        <v>62</v>
      </c>
      <c r="N135">
        <v>134</v>
      </c>
    </row>
    <row r="136" spans="1:14" x14ac:dyDescent="0.35">
      <c r="A136">
        <v>100135</v>
      </c>
      <c r="B136">
        <v>22695</v>
      </c>
      <c r="C136" t="s">
        <v>169</v>
      </c>
      <c r="D136" t="s">
        <v>30</v>
      </c>
      <c r="E136" t="s">
        <v>31</v>
      </c>
      <c r="F136" t="s">
        <v>61</v>
      </c>
      <c r="G136" t="s">
        <v>47</v>
      </c>
      <c r="H136">
        <v>2323</v>
      </c>
      <c r="I136">
        <v>1936.31</v>
      </c>
      <c r="J136">
        <v>0</v>
      </c>
      <c r="K136">
        <v>386.69</v>
      </c>
      <c r="L136">
        <v>2323</v>
      </c>
      <c r="M136" t="s">
        <v>62</v>
      </c>
      <c r="N136">
        <v>71</v>
      </c>
    </row>
    <row r="137" spans="1:14" x14ac:dyDescent="0.35">
      <c r="A137">
        <v>100136</v>
      </c>
      <c r="B137">
        <v>42577</v>
      </c>
      <c r="C137" t="s">
        <v>170</v>
      </c>
      <c r="D137" t="s">
        <v>52</v>
      </c>
      <c r="E137" t="s">
        <v>16</v>
      </c>
      <c r="F137" t="s">
        <v>32</v>
      </c>
      <c r="G137" t="s">
        <v>45</v>
      </c>
      <c r="H137">
        <v>15703</v>
      </c>
      <c r="I137">
        <v>12396.91</v>
      </c>
      <c r="J137">
        <v>9212.7099999999991</v>
      </c>
      <c r="K137">
        <v>3306.09</v>
      </c>
      <c r="L137">
        <v>6490.29</v>
      </c>
      <c r="M137" t="s">
        <v>39</v>
      </c>
      <c r="N137">
        <v>143</v>
      </c>
    </row>
    <row r="138" spans="1:14" x14ac:dyDescent="0.35">
      <c r="A138">
        <v>100137</v>
      </c>
      <c r="B138">
        <v>68325</v>
      </c>
      <c r="C138" t="s">
        <v>171</v>
      </c>
      <c r="D138" t="s">
        <v>34</v>
      </c>
      <c r="E138" t="s">
        <v>41</v>
      </c>
      <c r="F138" t="s">
        <v>23</v>
      </c>
      <c r="G138" t="s">
        <v>72</v>
      </c>
      <c r="H138">
        <v>6183</v>
      </c>
      <c r="I138">
        <v>4194.88</v>
      </c>
      <c r="J138">
        <v>4194.88</v>
      </c>
      <c r="K138">
        <v>1988.12</v>
      </c>
      <c r="L138">
        <v>1988.12</v>
      </c>
      <c r="M138" t="s">
        <v>19</v>
      </c>
      <c r="N138">
        <v>33</v>
      </c>
    </row>
    <row r="139" spans="1:14" x14ac:dyDescent="0.35">
      <c r="A139">
        <v>100138</v>
      </c>
      <c r="B139">
        <v>79216</v>
      </c>
      <c r="C139" t="s">
        <v>172</v>
      </c>
      <c r="D139" t="s">
        <v>52</v>
      </c>
      <c r="E139" t="s">
        <v>31</v>
      </c>
      <c r="F139" t="s">
        <v>27</v>
      </c>
      <c r="G139" t="s">
        <v>72</v>
      </c>
      <c r="H139">
        <v>4133</v>
      </c>
      <c r="I139">
        <v>3541.65</v>
      </c>
      <c r="J139">
        <v>3541.65</v>
      </c>
      <c r="K139">
        <v>591.35</v>
      </c>
      <c r="L139">
        <v>591.35</v>
      </c>
      <c r="M139" t="s">
        <v>19</v>
      </c>
      <c r="N139">
        <v>94</v>
      </c>
    </row>
    <row r="140" spans="1:14" x14ac:dyDescent="0.35">
      <c r="A140">
        <v>100139</v>
      </c>
      <c r="B140">
        <v>10012</v>
      </c>
      <c r="C140" t="s">
        <v>173</v>
      </c>
      <c r="D140" t="s">
        <v>21</v>
      </c>
      <c r="E140" t="s">
        <v>22</v>
      </c>
      <c r="F140" t="s">
        <v>23</v>
      </c>
      <c r="G140" t="s">
        <v>38</v>
      </c>
      <c r="H140">
        <v>6702</v>
      </c>
      <c r="I140">
        <v>5397.51</v>
      </c>
      <c r="J140">
        <v>5397.51</v>
      </c>
      <c r="K140">
        <v>1304.49</v>
      </c>
      <c r="L140">
        <v>1304.49</v>
      </c>
      <c r="M140" t="s">
        <v>19</v>
      </c>
      <c r="N140">
        <v>49</v>
      </c>
    </row>
    <row r="141" spans="1:14" x14ac:dyDescent="0.35">
      <c r="A141">
        <v>100140</v>
      </c>
      <c r="B141">
        <v>51666</v>
      </c>
      <c r="C141" t="s">
        <v>174</v>
      </c>
      <c r="D141" t="s">
        <v>21</v>
      </c>
      <c r="E141" t="s">
        <v>31</v>
      </c>
      <c r="F141" t="s">
        <v>27</v>
      </c>
      <c r="G141" t="s">
        <v>47</v>
      </c>
      <c r="H141">
        <v>9014</v>
      </c>
      <c r="I141">
        <v>7473.59</v>
      </c>
      <c r="J141">
        <v>7473.59</v>
      </c>
      <c r="K141">
        <v>1540.41</v>
      </c>
      <c r="L141">
        <v>1540.41</v>
      </c>
      <c r="M141" t="s">
        <v>19</v>
      </c>
      <c r="N141">
        <v>117</v>
      </c>
    </row>
    <row r="142" spans="1:14" x14ac:dyDescent="0.35">
      <c r="A142">
        <v>100141</v>
      </c>
      <c r="B142">
        <v>34834</v>
      </c>
      <c r="C142" t="s">
        <v>175</v>
      </c>
      <c r="D142" t="s">
        <v>52</v>
      </c>
      <c r="E142" t="s">
        <v>31</v>
      </c>
      <c r="F142" t="s">
        <v>17</v>
      </c>
      <c r="G142" t="s">
        <v>28</v>
      </c>
      <c r="H142">
        <v>5102</v>
      </c>
      <c r="I142">
        <v>3208.25</v>
      </c>
      <c r="J142">
        <v>3208.25</v>
      </c>
      <c r="K142">
        <v>1893.75</v>
      </c>
      <c r="L142">
        <v>1893.75</v>
      </c>
      <c r="M142" t="s">
        <v>19</v>
      </c>
      <c r="N142">
        <v>63</v>
      </c>
    </row>
    <row r="143" spans="1:14" x14ac:dyDescent="0.35">
      <c r="A143">
        <v>100142</v>
      </c>
      <c r="B143">
        <v>93782</v>
      </c>
      <c r="C143" t="s">
        <v>176</v>
      </c>
      <c r="D143" t="s">
        <v>21</v>
      </c>
      <c r="E143" t="s">
        <v>37</v>
      </c>
      <c r="F143" t="s">
        <v>44</v>
      </c>
      <c r="G143" t="s">
        <v>24</v>
      </c>
      <c r="H143">
        <v>23958</v>
      </c>
      <c r="I143">
        <v>16926.87</v>
      </c>
      <c r="J143">
        <v>16926.87</v>
      </c>
      <c r="K143">
        <v>7031.13</v>
      </c>
      <c r="L143">
        <v>7031.13</v>
      </c>
      <c r="M143" t="s">
        <v>19</v>
      </c>
      <c r="N143">
        <v>18</v>
      </c>
    </row>
    <row r="144" spans="1:14" x14ac:dyDescent="0.35">
      <c r="A144">
        <v>100143</v>
      </c>
      <c r="B144">
        <v>37878</v>
      </c>
      <c r="C144" t="s">
        <v>157</v>
      </c>
      <c r="D144" t="s">
        <v>65</v>
      </c>
      <c r="E144" t="s">
        <v>41</v>
      </c>
      <c r="F144" t="s">
        <v>54</v>
      </c>
      <c r="G144" t="s">
        <v>24</v>
      </c>
      <c r="H144">
        <v>6906</v>
      </c>
      <c r="I144">
        <v>4477.8900000000003</v>
      </c>
      <c r="J144">
        <v>2019.58</v>
      </c>
      <c r="K144">
        <v>2428.11</v>
      </c>
      <c r="L144">
        <v>4886.42</v>
      </c>
      <c r="M144" t="s">
        <v>39</v>
      </c>
      <c r="N144">
        <v>25</v>
      </c>
    </row>
    <row r="145" spans="1:14" x14ac:dyDescent="0.35">
      <c r="A145">
        <v>100144</v>
      </c>
      <c r="B145">
        <v>20006</v>
      </c>
      <c r="C145" t="s">
        <v>177</v>
      </c>
      <c r="D145" t="s">
        <v>30</v>
      </c>
      <c r="E145" t="s">
        <v>37</v>
      </c>
      <c r="F145" t="s">
        <v>17</v>
      </c>
      <c r="G145" t="s">
        <v>45</v>
      </c>
      <c r="H145">
        <v>859</v>
      </c>
      <c r="I145">
        <v>662.68</v>
      </c>
      <c r="J145">
        <v>662.68</v>
      </c>
      <c r="K145">
        <v>196.32</v>
      </c>
      <c r="L145">
        <v>196.32</v>
      </c>
      <c r="M145" t="s">
        <v>19</v>
      </c>
      <c r="N145">
        <v>28</v>
      </c>
    </row>
    <row r="146" spans="1:14" x14ac:dyDescent="0.35">
      <c r="A146">
        <v>100145</v>
      </c>
      <c r="B146">
        <v>34134</v>
      </c>
      <c r="C146" t="s">
        <v>178</v>
      </c>
      <c r="D146" t="s">
        <v>15</v>
      </c>
      <c r="E146" t="s">
        <v>56</v>
      </c>
      <c r="F146" t="s">
        <v>32</v>
      </c>
      <c r="G146" t="s">
        <v>18</v>
      </c>
      <c r="H146">
        <v>11757</v>
      </c>
      <c r="I146">
        <v>7816.87</v>
      </c>
      <c r="J146">
        <v>7816.87</v>
      </c>
      <c r="K146">
        <v>3940.13</v>
      </c>
      <c r="L146">
        <v>3940.13</v>
      </c>
      <c r="M146" t="s">
        <v>19</v>
      </c>
      <c r="N146">
        <v>66</v>
      </c>
    </row>
    <row r="147" spans="1:14" x14ac:dyDescent="0.35">
      <c r="A147">
        <v>100146</v>
      </c>
      <c r="B147">
        <v>33384</v>
      </c>
      <c r="C147" t="s">
        <v>179</v>
      </c>
      <c r="D147" t="s">
        <v>15</v>
      </c>
      <c r="E147" t="s">
        <v>37</v>
      </c>
      <c r="F147" t="s">
        <v>35</v>
      </c>
      <c r="G147" t="s">
        <v>72</v>
      </c>
      <c r="H147">
        <v>10258</v>
      </c>
      <c r="I147">
        <v>7824.73</v>
      </c>
      <c r="J147">
        <v>7824.73</v>
      </c>
      <c r="K147">
        <v>2433.27</v>
      </c>
      <c r="L147">
        <v>2433.27</v>
      </c>
      <c r="M147" t="s">
        <v>19</v>
      </c>
      <c r="N147">
        <v>112</v>
      </c>
    </row>
    <row r="148" spans="1:14" x14ac:dyDescent="0.35">
      <c r="A148">
        <v>100147</v>
      </c>
      <c r="B148">
        <v>93656</v>
      </c>
      <c r="C148" t="s">
        <v>180</v>
      </c>
      <c r="D148" t="s">
        <v>49</v>
      </c>
      <c r="E148" t="s">
        <v>37</v>
      </c>
      <c r="F148" t="s">
        <v>54</v>
      </c>
      <c r="G148" t="s">
        <v>24</v>
      </c>
      <c r="H148">
        <v>8021</v>
      </c>
      <c r="I148">
        <v>5083.29</v>
      </c>
      <c r="J148">
        <v>5083.29</v>
      </c>
      <c r="K148">
        <v>2937.71</v>
      </c>
      <c r="L148">
        <v>2937.71</v>
      </c>
      <c r="M148" t="s">
        <v>19</v>
      </c>
      <c r="N148">
        <v>152</v>
      </c>
    </row>
    <row r="149" spans="1:14" x14ac:dyDescent="0.35">
      <c r="A149">
        <v>100148</v>
      </c>
      <c r="B149">
        <v>50598</v>
      </c>
      <c r="C149" t="s">
        <v>181</v>
      </c>
      <c r="D149" t="s">
        <v>30</v>
      </c>
      <c r="E149" t="s">
        <v>41</v>
      </c>
      <c r="F149" t="s">
        <v>35</v>
      </c>
      <c r="G149" t="s">
        <v>38</v>
      </c>
      <c r="H149">
        <v>9246</v>
      </c>
      <c r="I149">
        <v>6707.53</v>
      </c>
      <c r="J149">
        <v>6707.53</v>
      </c>
      <c r="K149">
        <v>2538.4699999999998</v>
      </c>
      <c r="L149">
        <v>2538.4699999999998</v>
      </c>
      <c r="M149" t="s">
        <v>19</v>
      </c>
      <c r="N149">
        <v>174</v>
      </c>
    </row>
    <row r="150" spans="1:14" x14ac:dyDescent="0.35">
      <c r="A150">
        <v>100149</v>
      </c>
      <c r="B150">
        <v>29763</v>
      </c>
      <c r="C150" t="s">
        <v>182</v>
      </c>
      <c r="D150" t="s">
        <v>21</v>
      </c>
      <c r="E150" t="s">
        <v>22</v>
      </c>
      <c r="F150" t="s">
        <v>17</v>
      </c>
      <c r="G150" t="s">
        <v>24</v>
      </c>
      <c r="H150">
        <v>21090</v>
      </c>
      <c r="I150">
        <v>17696.36</v>
      </c>
      <c r="J150">
        <v>17696.36</v>
      </c>
      <c r="K150">
        <v>3393.64</v>
      </c>
      <c r="L150">
        <v>3393.64</v>
      </c>
      <c r="M150" t="s">
        <v>19</v>
      </c>
      <c r="N150">
        <v>164</v>
      </c>
    </row>
    <row r="151" spans="1:14" x14ac:dyDescent="0.35">
      <c r="A151">
        <v>100150</v>
      </c>
      <c r="B151">
        <v>41644</v>
      </c>
      <c r="C151" t="s">
        <v>183</v>
      </c>
      <c r="D151" t="s">
        <v>30</v>
      </c>
      <c r="E151" t="s">
        <v>41</v>
      </c>
      <c r="F151" t="s">
        <v>44</v>
      </c>
      <c r="G151" t="s">
        <v>45</v>
      </c>
      <c r="H151">
        <v>1135</v>
      </c>
      <c r="I151">
        <v>766.43</v>
      </c>
      <c r="J151">
        <v>609.78</v>
      </c>
      <c r="K151">
        <v>368.57</v>
      </c>
      <c r="L151">
        <v>525.22</v>
      </c>
      <c r="M151" t="s">
        <v>39</v>
      </c>
      <c r="N151">
        <v>133</v>
      </c>
    </row>
    <row r="152" spans="1:14" x14ac:dyDescent="0.35">
      <c r="A152">
        <v>100151</v>
      </c>
      <c r="B152">
        <v>34702</v>
      </c>
      <c r="C152" t="s">
        <v>184</v>
      </c>
      <c r="D152" t="s">
        <v>30</v>
      </c>
      <c r="E152" t="s">
        <v>43</v>
      </c>
      <c r="F152" t="s">
        <v>35</v>
      </c>
      <c r="G152" t="s">
        <v>24</v>
      </c>
      <c r="H152">
        <v>1001</v>
      </c>
      <c r="I152">
        <v>839.79</v>
      </c>
      <c r="J152">
        <v>839.79</v>
      </c>
      <c r="K152">
        <v>161.21</v>
      </c>
      <c r="L152">
        <v>161.21</v>
      </c>
      <c r="M152" t="s">
        <v>19</v>
      </c>
      <c r="N152">
        <v>74</v>
      </c>
    </row>
    <row r="153" spans="1:14" x14ac:dyDescent="0.35">
      <c r="A153">
        <v>100152</v>
      </c>
      <c r="B153">
        <v>96266</v>
      </c>
      <c r="C153" t="s">
        <v>185</v>
      </c>
      <c r="D153" t="s">
        <v>49</v>
      </c>
      <c r="E153" t="s">
        <v>26</v>
      </c>
      <c r="F153" t="s">
        <v>61</v>
      </c>
      <c r="G153" t="s">
        <v>38</v>
      </c>
      <c r="H153">
        <v>10764</v>
      </c>
      <c r="I153">
        <v>9129.02</v>
      </c>
      <c r="J153">
        <v>2440.25</v>
      </c>
      <c r="K153">
        <v>1634.98</v>
      </c>
      <c r="L153">
        <v>8323.75</v>
      </c>
      <c r="M153" t="s">
        <v>50</v>
      </c>
      <c r="N153">
        <v>62</v>
      </c>
    </row>
    <row r="154" spans="1:14" x14ac:dyDescent="0.35">
      <c r="A154">
        <v>100153</v>
      </c>
      <c r="B154">
        <v>34158</v>
      </c>
      <c r="C154" t="s">
        <v>186</v>
      </c>
      <c r="D154" t="s">
        <v>15</v>
      </c>
      <c r="E154" t="s">
        <v>16</v>
      </c>
      <c r="F154" t="s">
        <v>54</v>
      </c>
      <c r="G154" t="s">
        <v>24</v>
      </c>
      <c r="H154">
        <v>11083</v>
      </c>
      <c r="I154">
        <v>7479.86</v>
      </c>
      <c r="J154">
        <v>6265.06</v>
      </c>
      <c r="K154">
        <v>3603.14</v>
      </c>
      <c r="L154">
        <v>4817.9399999999996</v>
      </c>
      <c r="M154" t="s">
        <v>39</v>
      </c>
      <c r="N154">
        <v>101</v>
      </c>
    </row>
    <row r="155" spans="1:14" x14ac:dyDescent="0.35">
      <c r="A155">
        <v>100154</v>
      </c>
      <c r="B155">
        <v>80846</v>
      </c>
      <c r="C155" t="s">
        <v>187</v>
      </c>
      <c r="D155" t="s">
        <v>65</v>
      </c>
      <c r="E155" t="s">
        <v>41</v>
      </c>
      <c r="F155" t="s">
        <v>61</v>
      </c>
      <c r="G155" t="s">
        <v>18</v>
      </c>
      <c r="H155">
        <v>24665</v>
      </c>
      <c r="I155">
        <v>22623.4</v>
      </c>
      <c r="J155">
        <v>22623.4</v>
      </c>
      <c r="K155">
        <v>2041.6</v>
      </c>
      <c r="L155">
        <v>2041.6</v>
      </c>
      <c r="M155" t="s">
        <v>19</v>
      </c>
      <c r="N155">
        <v>108</v>
      </c>
    </row>
    <row r="156" spans="1:14" x14ac:dyDescent="0.35">
      <c r="A156">
        <v>100155</v>
      </c>
      <c r="B156">
        <v>27906</v>
      </c>
      <c r="C156" t="s">
        <v>188</v>
      </c>
      <c r="D156" t="s">
        <v>65</v>
      </c>
      <c r="E156" t="s">
        <v>56</v>
      </c>
      <c r="F156" t="s">
        <v>27</v>
      </c>
      <c r="G156" t="s">
        <v>18</v>
      </c>
      <c r="H156">
        <v>11056</v>
      </c>
      <c r="I156">
        <v>7952.29</v>
      </c>
      <c r="J156">
        <v>7952.29</v>
      </c>
      <c r="K156">
        <v>3103.71</v>
      </c>
      <c r="L156">
        <v>3103.71</v>
      </c>
      <c r="M156" t="s">
        <v>19</v>
      </c>
      <c r="N156">
        <v>110</v>
      </c>
    </row>
    <row r="157" spans="1:14" x14ac:dyDescent="0.35">
      <c r="A157">
        <v>100156</v>
      </c>
      <c r="B157">
        <v>97946</v>
      </c>
      <c r="C157" t="s">
        <v>189</v>
      </c>
      <c r="D157" t="s">
        <v>21</v>
      </c>
      <c r="E157" t="s">
        <v>56</v>
      </c>
      <c r="F157" t="s">
        <v>35</v>
      </c>
      <c r="G157" t="s">
        <v>72</v>
      </c>
      <c r="H157">
        <v>21204</v>
      </c>
      <c r="I157">
        <v>14207.7</v>
      </c>
      <c r="J157">
        <v>14207.7</v>
      </c>
      <c r="K157">
        <v>6996.3</v>
      </c>
      <c r="L157">
        <v>6996.3</v>
      </c>
      <c r="M157" t="s">
        <v>19</v>
      </c>
      <c r="N157">
        <v>70</v>
      </c>
    </row>
    <row r="158" spans="1:14" x14ac:dyDescent="0.35">
      <c r="A158">
        <v>100157</v>
      </c>
      <c r="B158">
        <v>11950</v>
      </c>
      <c r="C158" t="s">
        <v>190</v>
      </c>
      <c r="D158" t="s">
        <v>34</v>
      </c>
      <c r="E158" t="s">
        <v>22</v>
      </c>
      <c r="F158" t="s">
        <v>35</v>
      </c>
      <c r="G158" t="s">
        <v>45</v>
      </c>
      <c r="H158">
        <v>11742</v>
      </c>
      <c r="I158">
        <v>6644.62</v>
      </c>
      <c r="J158">
        <v>6644.62</v>
      </c>
      <c r="K158">
        <v>5097.38</v>
      </c>
      <c r="L158">
        <v>5097.38</v>
      </c>
      <c r="M158" t="s">
        <v>19</v>
      </c>
      <c r="N158">
        <v>58</v>
      </c>
    </row>
    <row r="159" spans="1:14" x14ac:dyDescent="0.35">
      <c r="A159">
        <v>100158</v>
      </c>
      <c r="B159">
        <v>30361</v>
      </c>
      <c r="C159" t="s">
        <v>191</v>
      </c>
      <c r="D159" t="s">
        <v>65</v>
      </c>
      <c r="E159" t="s">
        <v>16</v>
      </c>
      <c r="F159" t="s">
        <v>54</v>
      </c>
      <c r="G159" t="s">
        <v>38</v>
      </c>
      <c r="H159">
        <v>12784</v>
      </c>
      <c r="I159">
        <v>7890.47</v>
      </c>
      <c r="J159">
        <v>7890.47</v>
      </c>
      <c r="K159">
        <v>4893.53</v>
      </c>
      <c r="L159">
        <v>4893.53</v>
      </c>
      <c r="M159" t="s">
        <v>19</v>
      </c>
      <c r="N159">
        <v>66</v>
      </c>
    </row>
    <row r="160" spans="1:14" x14ac:dyDescent="0.35">
      <c r="A160">
        <v>100159</v>
      </c>
      <c r="B160">
        <v>61124</v>
      </c>
      <c r="C160" t="s">
        <v>192</v>
      </c>
      <c r="D160" t="s">
        <v>52</v>
      </c>
      <c r="E160" t="s">
        <v>31</v>
      </c>
      <c r="F160" t="s">
        <v>32</v>
      </c>
      <c r="G160" t="s">
        <v>18</v>
      </c>
      <c r="H160">
        <v>14618</v>
      </c>
      <c r="I160">
        <v>11760.47</v>
      </c>
      <c r="J160">
        <v>11760.47</v>
      </c>
      <c r="K160">
        <v>2857.53</v>
      </c>
      <c r="L160">
        <v>2857.53</v>
      </c>
      <c r="M160" t="s">
        <v>19</v>
      </c>
      <c r="N160">
        <v>74</v>
      </c>
    </row>
    <row r="161" spans="1:14" x14ac:dyDescent="0.35">
      <c r="A161">
        <v>100160</v>
      </c>
      <c r="B161">
        <v>33250</v>
      </c>
      <c r="C161" t="s">
        <v>193</v>
      </c>
      <c r="D161" t="s">
        <v>52</v>
      </c>
      <c r="E161" t="s">
        <v>26</v>
      </c>
      <c r="F161" t="s">
        <v>32</v>
      </c>
      <c r="G161" t="s">
        <v>72</v>
      </c>
      <c r="H161">
        <v>17365</v>
      </c>
      <c r="I161">
        <v>11349.01</v>
      </c>
      <c r="J161">
        <v>11349.01</v>
      </c>
      <c r="K161">
        <v>6015.99</v>
      </c>
      <c r="L161">
        <v>6015.99</v>
      </c>
      <c r="M161" t="s">
        <v>19</v>
      </c>
      <c r="N161">
        <v>76</v>
      </c>
    </row>
    <row r="162" spans="1:14" x14ac:dyDescent="0.35">
      <c r="A162">
        <v>100161</v>
      </c>
      <c r="B162">
        <v>90794</v>
      </c>
      <c r="C162" t="s">
        <v>194</v>
      </c>
      <c r="D162" t="s">
        <v>65</v>
      </c>
      <c r="E162" t="s">
        <v>56</v>
      </c>
      <c r="F162" t="s">
        <v>44</v>
      </c>
      <c r="G162" t="s">
        <v>28</v>
      </c>
      <c r="H162">
        <v>6131</v>
      </c>
      <c r="I162">
        <v>3726.5</v>
      </c>
      <c r="J162">
        <v>2722.96</v>
      </c>
      <c r="K162">
        <v>2404.5</v>
      </c>
      <c r="L162">
        <v>3408.04</v>
      </c>
      <c r="M162" t="s">
        <v>39</v>
      </c>
      <c r="N162">
        <v>64</v>
      </c>
    </row>
    <row r="163" spans="1:14" x14ac:dyDescent="0.35">
      <c r="A163">
        <v>100162</v>
      </c>
      <c r="B163">
        <v>37845</v>
      </c>
      <c r="C163" t="s">
        <v>195</v>
      </c>
      <c r="D163" t="s">
        <v>21</v>
      </c>
      <c r="E163" t="s">
        <v>16</v>
      </c>
      <c r="F163" t="s">
        <v>54</v>
      </c>
      <c r="G163" t="s">
        <v>24</v>
      </c>
      <c r="H163">
        <v>14737</v>
      </c>
      <c r="I163">
        <v>9653.2199999999993</v>
      </c>
      <c r="J163">
        <v>9653.2199999999993</v>
      </c>
      <c r="K163">
        <v>5083.78</v>
      </c>
      <c r="L163">
        <v>5083.78</v>
      </c>
      <c r="M163" t="s">
        <v>19</v>
      </c>
      <c r="N163">
        <v>9</v>
      </c>
    </row>
    <row r="164" spans="1:14" x14ac:dyDescent="0.35">
      <c r="A164">
        <v>100163</v>
      </c>
      <c r="B164">
        <v>12692</v>
      </c>
      <c r="C164" t="s">
        <v>196</v>
      </c>
      <c r="D164" t="s">
        <v>30</v>
      </c>
      <c r="E164" t="s">
        <v>22</v>
      </c>
      <c r="F164" t="s">
        <v>44</v>
      </c>
      <c r="G164" t="s">
        <v>28</v>
      </c>
      <c r="H164">
        <v>17312</v>
      </c>
      <c r="I164">
        <v>16194.73</v>
      </c>
      <c r="J164">
        <v>4672.05</v>
      </c>
      <c r="K164">
        <v>1117.27</v>
      </c>
      <c r="L164">
        <v>12639.95</v>
      </c>
      <c r="M164" t="s">
        <v>50</v>
      </c>
      <c r="N164">
        <v>124</v>
      </c>
    </row>
    <row r="165" spans="1:14" x14ac:dyDescent="0.35">
      <c r="A165">
        <v>100164</v>
      </c>
      <c r="B165">
        <v>24956</v>
      </c>
      <c r="C165" t="s">
        <v>53</v>
      </c>
      <c r="D165" t="s">
        <v>34</v>
      </c>
      <c r="E165" t="s">
        <v>31</v>
      </c>
      <c r="F165" t="s">
        <v>35</v>
      </c>
      <c r="G165" t="s">
        <v>28</v>
      </c>
      <c r="H165">
        <v>13865</v>
      </c>
      <c r="I165">
        <v>12063.36</v>
      </c>
      <c r="J165">
        <v>509.18</v>
      </c>
      <c r="K165">
        <v>1801.64</v>
      </c>
      <c r="L165">
        <v>13355.82</v>
      </c>
      <c r="M165" t="s">
        <v>50</v>
      </c>
      <c r="N165">
        <v>179</v>
      </c>
    </row>
    <row r="166" spans="1:14" x14ac:dyDescent="0.35">
      <c r="A166">
        <v>100165</v>
      </c>
      <c r="B166">
        <v>63064</v>
      </c>
      <c r="C166" t="s">
        <v>197</v>
      </c>
      <c r="D166" t="s">
        <v>15</v>
      </c>
      <c r="E166" t="s">
        <v>43</v>
      </c>
      <c r="F166" t="s">
        <v>23</v>
      </c>
      <c r="G166" t="s">
        <v>47</v>
      </c>
      <c r="H166">
        <v>2304</v>
      </c>
      <c r="I166">
        <v>2143.62</v>
      </c>
      <c r="J166">
        <v>2143.62</v>
      </c>
      <c r="K166">
        <v>160.38</v>
      </c>
      <c r="L166">
        <v>160.38</v>
      </c>
      <c r="M166" t="s">
        <v>19</v>
      </c>
      <c r="N166">
        <v>40</v>
      </c>
    </row>
    <row r="167" spans="1:14" x14ac:dyDescent="0.35">
      <c r="A167">
        <v>100166</v>
      </c>
      <c r="B167">
        <v>71077</v>
      </c>
      <c r="C167" t="s">
        <v>198</v>
      </c>
      <c r="D167" t="s">
        <v>30</v>
      </c>
      <c r="E167" t="s">
        <v>41</v>
      </c>
      <c r="F167" t="s">
        <v>54</v>
      </c>
      <c r="G167" t="s">
        <v>28</v>
      </c>
      <c r="H167">
        <v>24780</v>
      </c>
      <c r="I167">
        <v>20591.669999999998</v>
      </c>
      <c r="J167">
        <v>20591.669999999998</v>
      </c>
      <c r="K167">
        <v>4188.33</v>
      </c>
      <c r="L167">
        <v>4188.33</v>
      </c>
      <c r="M167" t="s">
        <v>19</v>
      </c>
      <c r="N167">
        <v>2</v>
      </c>
    </row>
    <row r="168" spans="1:14" x14ac:dyDescent="0.35">
      <c r="A168">
        <v>100167</v>
      </c>
      <c r="B168">
        <v>57860</v>
      </c>
      <c r="C168" t="s">
        <v>155</v>
      </c>
      <c r="D168" t="s">
        <v>34</v>
      </c>
      <c r="E168" t="s">
        <v>22</v>
      </c>
      <c r="F168" t="s">
        <v>44</v>
      </c>
      <c r="G168" t="s">
        <v>18</v>
      </c>
      <c r="H168">
        <v>5247</v>
      </c>
      <c r="I168">
        <v>3119.66</v>
      </c>
      <c r="J168">
        <v>3119.66</v>
      </c>
      <c r="K168">
        <v>2127.34</v>
      </c>
      <c r="L168">
        <v>2127.34</v>
      </c>
      <c r="M168" t="s">
        <v>19</v>
      </c>
      <c r="N168">
        <v>87</v>
      </c>
    </row>
    <row r="169" spans="1:14" x14ac:dyDescent="0.35">
      <c r="A169">
        <v>100168</v>
      </c>
      <c r="B169">
        <v>92260</v>
      </c>
      <c r="C169" t="s">
        <v>199</v>
      </c>
      <c r="D169" t="s">
        <v>21</v>
      </c>
      <c r="E169" t="s">
        <v>16</v>
      </c>
      <c r="F169" t="s">
        <v>44</v>
      </c>
      <c r="G169" t="s">
        <v>45</v>
      </c>
      <c r="H169">
        <v>19309</v>
      </c>
      <c r="I169">
        <v>11993.21</v>
      </c>
      <c r="J169">
        <v>9411.35</v>
      </c>
      <c r="K169">
        <v>7315.79</v>
      </c>
      <c r="L169">
        <v>9897.65</v>
      </c>
      <c r="M169" t="s">
        <v>39</v>
      </c>
      <c r="N169">
        <v>20</v>
      </c>
    </row>
    <row r="170" spans="1:14" x14ac:dyDescent="0.35">
      <c r="A170">
        <v>100169</v>
      </c>
      <c r="B170">
        <v>95349</v>
      </c>
      <c r="C170" t="s">
        <v>200</v>
      </c>
      <c r="D170" t="s">
        <v>65</v>
      </c>
      <c r="E170" t="s">
        <v>56</v>
      </c>
      <c r="F170" t="s">
        <v>61</v>
      </c>
      <c r="G170" t="s">
        <v>72</v>
      </c>
      <c r="H170">
        <v>9038</v>
      </c>
      <c r="I170">
        <v>8160.56</v>
      </c>
      <c r="J170">
        <v>8160.56</v>
      </c>
      <c r="K170">
        <v>877.44</v>
      </c>
      <c r="L170">
        <v>877.44</v>
      </c>
      <c r="M170" t="s">
        <v>19</v>
      </c>
      <c r="N170">
        <v>132</v>
      </c>
    </row>
    <row r="171" spans="1:14" x14ac:dyDescent="0.35">
      <c r="A171">
        <v>100170</v>
      </c>
      <c r="B171">
        <v>52822</v>
      </c>
      <c r="C171" t="s">
        <v>196</v>
      </c>
      <c r="D171" t="s">
        <v>52</v>
      </c>
      <c r="E171" t="s">
        <v>16</v>
      </c>
      <c r="F171" t="s">
        <v>17</v>
      </c>
      <c r="G171" t="s">
        <v>72</v>
      </c>
      <c r="H171">
        <v>18110</v>
      </c>
      <c r="I171">
        <v>10467.07</v>
      </c>
      <c r="J171">
        <v>10467.07</v>
      </c>
      <c r="K171">
        <v>7642.93</v>
      </c>
      <c r="L171">
        <v>7642.93</v>
      </c>
      <c r="M171" t="s">
        <v>19</v>
      </c>
      <c r="N171">
        <v>50</v>
      </c>
    </row>
    <row r="172" spans="1:14" x14ac:dyDescent="0.35">
      <c r="A172">
        <v>100171</v>
      </c>
      <c r="B172">
        <v>26167</v>
      </c>
      <c r="C172" t="s">
        <v>146</v>
      </c>
      <c r="D172" t="s">
        <v>65</v>
      </c>
      <c r="E172" t="s">
        <v>43</v>
      </c>
      <c r="F172" t="s">
        <v>27</v>
      </c>
      <c r="G172" t="s">
        <v>38</v>
      </c>
      <c r="H172">
        <v>15125</v>
      </c>
      <c r="I172">
        <v>9923.8700000000008</v>
      </c>
      <c r="J172">
        <v>4572.28</v>
      </c>
      <c r="K172">
        <v>5201.13</v>
      </c>
      <c r="L172">
        <v>10552.72</v>
      </c>
      <c r="M172" t="s">
        <v>39</v>
      </c>
      <c r="N172">
        <v>174</v>
      </c>
    </row>
    <row r="173" spans="1:14" x14ac:dyDescent="0.35">
      <c r="A173">
        <v>100172</v>
      </c>
      <c r="B173">
        <v>51316</v>
      </c>
      <c r="C173" t="s">
        <v>201</v>
      </c>
      <c r="D173" t="s">
        <v>34</v>
      </c>
      <c r="E173" t="s">
        <v>31</v>
      </c>
      <c r="F173" t="s">
        <v>23</v>
      </c>
      <c r="G173" t="s">
        <v>38</v>
      </c>
      <c r="H173">
        <v>2744</v>
      </c>
      <c r="I173">
        <v>1759.77</v>
      </c>
      <c r="J173">
        <v>1759.77</v>
      </c>
      <c r="K173">
        <v>984.23</v>
      </c>
      <c r="L173">
        <v>984.23</v>
      </c>
      <c r="M173" t="s">
        <v>19</v>
      </c>
      <c r="N173">
        <v>122</v>
      </c>
    </row>
    <row r="174" spans="1:14" x14ac:dyDescent="0.35">
      <c r="A174">
        <v>100173</v>
      </c>
      <c r="B174">
        <v>67952</v>
      </c>
      <c r="C174" t="s">
        <v>202</v>
      </c>
      <c r="D174" t="s">
        <v>34</v>
      </c>
      <c r="E174" t="s">
        <v>16</v>
      </c>
      <c r="F174" t="s">
        <v>27</v>
      </c>
      <c r="G174" t="s">
        <v>24</v>
      </c>
      <c r="H174">
        <v>24073</v>
      </c>
      <c r="I174">
        <v>17433.47</v>
      </c>
      <c r="J174">
        <v>17433.47</v>
      </c>
      <c r="K174">
        <v>6639.53</v>
      </c>
      <c r="L174">
        <v>6639.53</v>
      </c>
      <c r="M174" t="s">
        <v>19</v>
      </c>
      <c r="N174">
        <v>158</v>
      </c>
    </row>
    <row r="175" spans="1:14" x14ac:dyDescent="0.35">
      <c r="A175">
        <v>100174</v>
      </c>
      <c r="B175">
        <v>39015</v>
      </c>
      <c r="C175" t="s">
        <v>203</v>
      </c>
      <c r="D175" t="s">
        <v>21</v>
      </c>
      <c r="E175" t="s">
        <v>16</v>
      </c>
      <c r="F175" t="s">
        <v>27</v>
      </c>
      <c r="G175" t="s">
        <v>24</v>
      </c>
      <c r="H175">
        <v>5872</v>
      </c>
      <c r="I175">
        <v>3628.67</v>
      </c>
      <c r="J175">
        <v>3628.67</v>
      </c>
      <c r="K175">
        <v>2243.33</v>
      </c>
      <c r="L175">
        <v>2243.33</v>
      </c>
      <c r="M175" t="s">
        <v>19</v>
      </c>
      <c r="N175">
        <v>56</v>
      </c>
    </row>
    <row r="176" spans="1:14" x14ac:dyDescent="0.35">
      <c r="A176">
        <v>100175</v>
      </c>
      <c r="B176">
        <v>39611</v>
      </c>
      <c r="C176" t="s">
        <v>204</v>
      </c>
      <c r="D176" t="s">
        <v>34</v>
      </c>
      <c r="E176" t="s">
        <v>16</v>
      </c>
      <c r="F176" t="s">
        <v>32</v>
      </c>
      <c r="G176" t="s">
        <v>72</v>
      </c>
      <c r="H176">
        <v>16908</v>
      </c>
      <c r="I176">
        <v>10328.040000000001</v>
      </c>
      <c r="J176">
        <v>7001.61</v>
      </c>
      <c r="K176">
        <v>6579.96</v>
      </c>
      <c r="L176">
        <v>9906.39</v>
      </c>
      <c r="M176" t="s">
        <v>39</v>
      </c>
      <c r="N176">
        <v>178</v>
      </c>
    </row>
    <row r="177" spans="1:14" x14ac:dyDescent="0.35">
      <c r="A177">
        <v>100176</v>
      </c>
      <c r="B177">
        <v>65615</v>
      </c>
      <c r="C177" t="s">
        <v>205</v>
      </c>
      <c r="D177" t="s">
        <v>65</v>
      </c>
      <c r="E177" t="s">
        <v>56</v>
      </c>
      <c r="F177" t="s">
        <v>35</v>
      </c>
      <c r="G177" t="s">
        <v>18</v>
      </c>
      <c r="H177">
        <v>17631</v>
      </c>
      <c r="I177">
        <v>13517.26</v>
      </c>
      <c r="J177">
        <v>13517.26</v>
      </c>
      <c r="K177">
        <v>4113.74</v>
      </c>
      <c r="L177">
        <v>4113.74</v>
      </c>
      <c r="M177" t="s">
        <v>19</v>
      </c>
      <c r="N177">
        <v>122</v>
      </c>
    </row>
    <row r="178" spans="1:14" x14ac:dyDescent="0.35">
      <c r="A178">
        <v>100177</v>
      </c>
      <c r="B178">
        <v>18518</v>
      </c>
      <c r="C178" t="s">
        <v>206</v>
      </c>
      <c r="D178" t="s">
        <v>65</v>
      </c>
      <c r="E178" t="s">
        <v>41</v>
      </c>
      <c r="F178" t="s">
        <v>17</v>
      </c>
      <c r="G178" t="s">
        <v>45</v>
      </c>
      <c r="H178">
        <v>8572</v>
      </c>
      <c r="I178">
        <v>6785.35</v>
      </c>
      <c r="J178">
        <v>1626</v>
      </c>
      <c r="K178">
        <v>1786.65</v>
      </c>
      <c r="L178">
        <v>6946</v>
      </c>
      <c r="M178" t="s">
        <v>50</v>
      </c>
      <c r="N178">
        <v>75</v>
      </c>
    </row>
    <row r="179" spans="1:14" x14ac:dyDescent="0.35">
      <c r="A179">
        <v>100178</v>
      </c>
      <c r="B179">
        <v>79123</v>
      </c>
      <c r="C179" t="s">
        <v>207</v>
      </c>
      <c r="D179" t="s">
        <v>65</v>
      </c>
      <c r="E179" t="s">
        <v>37</v>
      </c>
      <c r="F179" t="s">
        <v>32</v>
      </c>
      <c r="G179" t="s">
        <v>72</v>
      </c>
      <c r="H179">
        <v>13564</v>
      </c>
      <c r="I179">
        <v>11083.34</v>
      </c>
      <c r="J179">
        <v>11083.34</v>
      </c>
      <c r="K179">
        <v>2480.66</v>
      </c>
      <c r="L179">
        <v>2480.66</v>
      </c>
      <c r="M179" t="s">
        <v>19</v>
      </c>
      <c r="N179">
        <v>146</v>
      </c>
    </row>
    <row r="180" spans="1:14" x14ac:dyDescent="0.35">
      <c r="A180">
        <v>100179</v>
      </c>
      <c r="B180">
        <v>30055</v>
      </c>
      <c r="C180" t="s">
        <v>208</v>
      </c>
      <c r="D180" t="s">
        <v>65</v>
      </c>
      <c r="E180" t="s">
        <v>43</v>
      </c>
      <c r="F180" t="s">
        <v>17</v>
      </c>
      <c r="G180" t="s">
        <v>18</v>
      </c>
      <c r="H180">
        <v>16694</v>
      </c>
      <c r="I180">
        <v>9879.06</v>
      </c>
      <c r="J180">
        <v>9879.06</v>
      </c>
      <c r="K180">
        <v>6814.94</v>
      </c>
      <c r="L180">
        <v>6814.94</v>
      </c>
      <c r="M180" t="s">
        <v>19</v>
      </c>
      <c r="N180">
        <v>122</v>
      </c>
    </row>
    <row r="181" spans="1:14" x14ac:dyDescent="0.35">
      <c r="A181">
        <v>100180</v>
      </c>
      <c r="B181">
        <v>37847</v>
      </c>
      <c r="C181" t="s">
        <v>68</v>
      </c>
      <c r="D181" t="s">
        <v>15</v>
      </c>
      <c r="E181" t="s">
        <v>22</v>
      </c>
      <c r="F181" t="s">
        <v>23</v>
      </c>
      <c r="G181" t="s">
        <v>47</v>
      </c>
      <c r="H181">
        <v>7650</v>
      </c>
      <c r="I181">
        <v>5189.41</v>
      </c>
      <c r="J181">
        <v>3147.95</v>
      </c>
      <c r="K181">
        <v>2460.59</v>
      </c>
      <c r="L181">
        <v>4502.05</v>
      </c>
      <c r="M181" t="s">
        <v>39</v>
      </c>
      <c r="N181">
        <v>50</v>
      </c>
    </row>
    <row r="182" spans="1:14" x14ac:dyDescent="0.35">
      <c r="A182">
        <v>100181</v>
      </c>
      <c r="B182">
        <v>73965</v>
      </c>
      <c r="C182" t="s">
        <v>209</v>
      </c>
      <c r="D182" t="s">
        <v>30</v>
      </c>
      <c r="E182" t="s">
        <v>16</v>
      </c>
      <c r="F182" t="s">
        <v>17</v>
      </c>
      <c r="G182" t="s">
        <v>47</v>
      </c>
      <c r="H182">
        <v>6878</v>
      </c>
      <c r="I182">
        <v>5981.3</v>
      </c>
      <c r="J182">
        <v>4026.48</v>
      </c>
      <c r="K182">
        <v>896.7</v>
      </c>
      <c r="L182">
        <v>2851.52</v>
      </c>
      <c r="M182" t="s">
        <v>39</v>
      </c>
      <c r="N182">
        <v>126</v>
      </c>
    </row>
    <row r="183" spans="1:14" x14ac:dyDescent="0.35">
      <c r="A183">
        <v>100182</v>
      </c>
      <c r="B183">
        <v>65343</v>
      </c>
      <c r="C183" t="s">
        <v>210</v>
      </c>
      <c r="D183" t="s">
        <v>15</v>
      </c>
      <c r="E183" t="s">
        <v>43</v>
      </c>
      <c r="F183" t="s">
        <v>54</v>
      </c>
      <c r="G183" t="s">
        <v>72</v>
      </c>
      <c r="H183">
        <v>13155</v>
      </c>
      <c r="I183">
        <v>12360.74</v>
      </c>
      <c r="J183">
        <v>12360.74</v>
      </c>
      <c r="K183">
        <v>794.26</v>
      </c>
      <c r="L183">
        <v>794.26</v>
      </c>
      <c r="M183" t="s">
        <v>19</v>
      </c>
      <c r="N183">
        <v>55</v>
      </c>
    </row>
    <row r="184" spans="1:14" x14ac:dyDescent="0.35">
      <c r="A184">
        <v>100183</v>
      </c>
      <c r="B184">
        <v>21672</v>
      </c>
      <c r="C184" t="s">
        <v>211</v>
      </c>
      <c r="D184" t="s">
        <v>34</v>
      </c>
      <c r="E184" t="s">
        <v>41</v>
      </c>
      <c r="F184" t="s">
        <v>35</v>
      </c>
      <c r="G184" t="s">
        <v>38</v>
      </c>
      <c r="H184">
        <v>24869</v>
      </c>
      <c r="I184">
        <v>23539.1</v>
      </c>
      <c r="J184">
        <v>23539.1</v>
      </c>
      <c r="K184">
        <v>1329.9</v>
      </c>
      <c r="L184">
        <v>1329.9</v>
      </c>
      <c r="M184" t="s">
        <v>19</v>
      </c>
      <c r="N184">
        <v>136</v>
      </c>
    </row>
    <row r="185" spans="1:14" x14ac:dyDescent="0.35">
      <c r="A185">
        <v>100184</v>
      </c>
      <c r="B185">
        <v>98944</v>
      </c>
      <c r="C185" t="s">
        <v>212</v>
      </c>
      <c r="D185" t="s">
        <v>52</v>
      </c>
      <c r="E185" t="s">
        <v>43</v>
      </c>
      <c r="F185" t="s">
        <v>61</v>
      </c>
      <c r="G185" t="s">
        <v>38</v>
      </c>
      <c r="H185">
        <v>13799</v>
      </c>
      <c r="I185">
        <v>12368.64</v>
      </c>
      <c r="J185">
        <v>12368.64</v>
      </c>
      <c r="K185">
        <v>1430.36</v>
      </c>
      <c r="L185">
        <v>1430.36</v>
      </c>
      <c r="M185" t="s">
        <v>19</v>
      </c>
      <c r="N185">
        <v>23</v>
      </c>
    </row>
    <row r="186" spans="1:14" x14ac:dyDescent="0.35">
      <c r="A186">
        <v>100185</v>
      </c>
      <c r="B186">
        <v>54321</v>
      </c>
      <c r="C186" t="s">
        <v>213</v>
      </c>
      <c r="D186" t="s">
        <v>30</v>
      </c>
      <c r="E186" t="s">
        <v>26</v>
      </c>
      <c r="F186" t="s">
        <v>23</v>
      </c>
      <c r="G186" t="s">
        <v>38</v>
      </c>
      <c r="H186">
        <v>24018</v>
      </c>
      <c r="I186">
        <v>20727.82</v>
      </c>
      <c r="J186">
        <v>17003.95</v>
      </c>
      <c r="K186">
        <v>3290.18</v>
      </c>
      <c r="L186">
        <v>7014.05</v>
      </c>
      <c r="M186" t="s">
        <v>39</v>
      </c>
      <c r="N186">
        <v>72</v>
      </c>
    </row>
    <row r="187" spans="1:14" x14ac:dyDescent="0.35">
      <c r="A187">
        <v>100186</v>
      </c>
      <c r="B187">
        <v>53747</v>
      </c>
      <c r="C187" t="s">
        <v>214</v>
      </c>
      <c r="D187" t="s">
        <v>30</v>
      </c>
      <c r="E187" t="s">
        <v>43</v>
      </c>
      <c r="F187" t="s">
        <v>54</v>
      </c>
      <c r="G187" t="s">
        <v>72</v>
      </c>
      <c r="H187">
        <v>6473</v>
      </c>
      <c r="I187">
        <v>4163.22</v>
      </c>
      <c r="J187">
        <v>2067.2600000000002</v>
      </c>
      <c r="K187">
        <v>2309.7800000000002</v>
      </c>
      <c r="L187">
        <v>4405.74</v>
      </c>
      <c r="M187" t="s">
        <v>39</v>
      </c>
      <c r="N187">
        <v>146</v>
      </c>
    </row>
    <row r="188" spans="1:14" x14ac:dyDescent="0.35">
      <c r="A188">
        <v>100187</v>
      </c>
      <c r="B188">
        <v>74704</v>
      </c>
      <c r="C188" t="s">
        <v>215</v>
      </c>
      <c r="D188" t="s">
        <v>49</v>
      </c>
      <c r="E188" t="s">
        <v>31</v>
      </c>
      <c r="F188" t="s">
        <v>35</v>
      </c>
      <c r="G188" t="s">
        <v>38</v>
      </c>
      <c r="H188">
        <v>4869</v>
      </c>
      <c r="I188">
        <v>3288.03</v>
      </c>
      <c r="J188">
        <v>3288.03</v>
      </c>
      <c r="K188">
        <v>1580.97</v>
      </c>
      <c r="L188">
        <v>1580.97</v>
      </c>
      <c r="M188" t="s">
        <v>19</v>
      </c>
      <c r="N188">
        <v>148</v>
      </c>
    </row>
    <row r="189" spans="1:14" x14ac:dyDescent="0.35">
      <c r="A189">
        <v>100188</v>
      </c>
      <c r="B189">
        <v>99129</v>
      </c>
      <c r="C189" t="s">
        <v>216</v>
      </c>
      <c r="D189" t="s">
        <v>34</v>
      </c>
      <c r="E189" t="s">
        <v>22</v>
      </c>
      <c r="F189" t="s">
        <v>27</v>
      </c>
      <c r="G189" t="s">
        <v>72</v>
      </c>
      <c r="H189">
        <v>13368</v>
      </c>
      <c r="I189">
        <v>10567.24</v>
      </c>
      <c r="J189">
        <v>10567.24</v>
      </c>
      <c r="K189">
        <v>2800.76</v>
      </c>
      <c r="L189">
        <v>2800.76</v>
      </c>
      <c r="M189" t="s">
        <v>19</v>
      </c>
      <c r="N189">
        <v>28</v>
      </c>
    </row>
    <row r="190" spans="1:14" x14ac:dyDescent="0.35">
      <c r="A190">
        <v>100189</v>
      </c>
      <c r="B190">
        <v>45397</v>
      </c>
      <c r="C190" t="s">
        <v>217</v>
      </c>
      <c r="D190" t="s">
        <v>15</v>
      </c>
      <c r="E190" t="s">
        <v>56</v>
      </c>
      <c r="F190" t="s">
        <v>27</v>
      </c>
      <c r="G190" t="s">
        <v>47</v>
      </c>
      <c r="H190">
        <v>4395</v>
      </c>
      <c r="I190">
        <v>3951.71</v>
      </c>
      <c r="J190">
        <v>2083.0500000000002</v>
      </c>
      <c r="K190">
        <v>443.29</v>
      </c>
      <c r="L190">
        <v>2311.9499999999998</v>
      </c>
      <c r="M190" t="s">
        <v>39</v>
      </c>
      <c r="N190">
        <v>28</v>
      </c>
    </row>
    <row r="191" spans="1:14" x14ac:dyDescent="0.35">
      <c r="A191">
        <v>100190</v>
      </c>
      <c r="B191">
        <v>30855</v>
      </c>
      <c r="C191" t="s">
        <v>218</v>
      </c>
      <c r="D191" t="s">
        <v>52</v>
      </c>
      <c r="E191" t="s">
        <v>43</v>
      </c>
      <c r="F191" t="s">
        <v>44</v>
      </c>
      <c r="G191" t="s">
        <v>24</v>
      </c>
      <c r="H191">
        <v>13672</v>
      </c>
      <c r="I191">
        <v>12204.39</v>
      </c>
      <c r="J191">
        <v>31.62</v>
      </c>
      <c r="K191">
        <v>1467.61</v>
      </c>
      <c r="L191">
        <v>13640.38</v>
      </c>
      <c r="M191" t="s">
        <v>50</v>
      </c>
      <c r="N191">
        <v>126</v>
      </c>
    </row>
    <row r="192" spans="1:14" x14ac:dyDescent="0.35">
      <c r="A192">
        <v>100191</v>
      </c>
      <c r="B192">
        <v>93379</v>
      </c>
      <c r="C192" t="s">
        <v>219</v>
      </c>
      <c r="D192" t="s">
        <v>52</v>
      </c>
      <c r="E192" t="s">
        <v>22</v>
      </c>
      <c r="F192" t="s">
        <v>61</v>
      </c>
      <c r="G192" t="s">
        <v>72</v>
      </c>
      <c r="H192">
        <v>11621</v>
      </c>
      <c r="I192">
        <v>10349.43</v>
      </c>
      <c r="J192">
        <v>10349.43</v>
      </c>
      <c r="K192">
        <v>1271.57</v>
      </c>
      <c r="L192">
        <v>1271.57</v>
      </c>
      <c r="M192" t="s">
        <v>19</v>
      </c>
      <c r="N192">
        <v>2</v>
      </c>
    </row>
    <row r="193" spans="1:14" x14ac:dyDescent="0.35">
      <c r="A193">
        <v>100192</v>
      </c>
      <c r="B193">
        <v>19831</v>
      </c>
      <c r="C193" t="s">
        <v>63</v>
      </c>
      <c r="D193" t="s">
        <v>30</v>
      </c>
      <c r="E193" t="s">
        <v>37</v>
      </c>
      <c r="F193" t="s">
        <v>32</v>
      </c>
      <c r="G193" t="s">
        <v>18</v>
      </c>
      <c r="H193">
        <v>19524</v>
      </c>
      <c r="I193">
        <v>14981.87</v>
      </c>
      <c r="J193">
        <v>14981.87</v>
      </c>
      <c r="K193">
        <v>4542.13</v>
      </c>
      <c r="L193">
        <v>4542.13</v>
      </c>
      <c r="M193" t="s">
        <v>19</v>
      </c>
      <c r="N193">
        <v>112</v>
      </c>
    </row>
    <row r="194" spans="1:14" x14ac:dyDescent="0.35">
      <c r="A194">
        <v>100193</v>
      </c>
      <c r="B194">
        <v>99854</v>
      </c>
      <c r="C194" t="s">
        <v>186</v>
      </c>
      <c r="D194" t="s">
        <v>65</v>
      </c>
      <c r="E194" t="s">
        <v>56</v>
      </c>
      <c r="F194" t="s">
        <v>17</v>
      </c>
      <c r="G194" t="s">
        <v>24</v>
      </c>
      <c r="H194">
        <v>23262</v>
      </c>
      <c r="I194">
        <v>17589.400000000001</v>
      </c>
      <c r="J194">
        <v>17589.400000000001</v>
      </c>
      <c r="K194">
        <v>5672.6</v>
      </c>
      <c r="L194">
        <v>5672.6</v>
      </c>
      <c r="M194" t="s">
        <v>19</v>
      </c>
      <c r="N194">
        <v>11</v>
      </c>
    </row>
    <row r="195" spans="1:14" x14ac:dyDescent="0.35">
      <c r="A195">
        <v>100194</v>
      </c>
      <c r="B195">
        <v>49605</v>
      </c>
      <c r="C195" t="s">
        <v>140</v>
      </c>
      <c r="D195" t="s">
        <v>65</v>
      </c>
      <c r="E195" t="s">
        <v>31</v>
      </c>
      <c r="F195" t="s">
        <v>27</v>
      </c>
      <c r="G195" t="s">
        <v>38</v>
      </c>
      <c r="H195">
        <v>24341</v>
      </c>
      <c r="I195">
        <v>21779.57</v>
      </c>
      <c r="J195">
        <v>21779.57</v>
      </c>
      <c r="K195">
        <v>2561.4299999999998</v>
      </c>
      <c r="L195">
        <v>2561.4299999999998</v>
      </c>
      <c r="M195" t="s">
        <v>19</v>
      </c>
      <c r="N195">
        <v>115</v>
      </c>
    </row>
    <row r="196" spans="1:14" x14ac:dyDescent="0.35">
      <c r="A196">
        <v>100195</v>
      </c>
      <c r="B196">
        <v>61592</v>
      </c>
      <c r="C196" t="s">
        <v>220</v>
      </c>
      <c r="D196" t="s">
        <v>65</v>
      </c>
      <c r="E196" t="s">
        <v>37</v>
      </c>
      <c r="F196" t="s">
        <v>61</v>
      </c>
      <c r="G196" t="s">
        <v>45</v>
      </c>
      <c r="H196">
        <v>8407</v>
      </c>
      <c r="I196">
        <v>7081.74</v>
      </c>
      <c r="J196">
        <v>1533.59</v>
      </c>
      <c r="K196">
        <v>1325.26</v>
      </c>
      <c r="L196">
        <v>6873.41</v>
      </c>
      <c r="M196" t="s">
        <v>50</v>
      </c>
      <c r="N196">
        <v>117</v>
      </c>
    </row>
    <row r="197" spans="1:14" x14ac:dyDescent="0.35">
      <c r="A197">
        <v>100196</v>
      </c>
      <c r="B197">
        <v>40151</v>
      </c>
      <c r="C197" t="s">
        <v>221</v>
      </c>
      <c r="D197" t="s">
        <v>21</v>
      </c>
      <c r="E197" t="s">
        <v>43</v>
      </c>
      <c r="F197" t="s">
        <v>17</v>
      </c>
      <c r="G197" t="s">
        <v>72</v>
      </c>
      <c r="H197">
        <v>326</v>
      </c>
      <c r="I197">
        <v>188.26</v>
      </c>
      <c r="J197">
        <v>188.26</v>
      </c>
      <c r="K197">
        <v>137.74</v>
      </c>
      <c r="L197">
        <v>137.74</v>
      </c>
      <c r="M197" t="s">
        <v>19</v>
      </c>
      <c r="N197">
        <v>74</v>
      </c>
    </row>
    <row r="198" spans="1:14" x14ac:dyDescent="0.35">
      <c r="A198">
        <v>100197</v>
      </c>
      <c r="B198">
        <v>38452</v>
      </c>
      <c r="C198" t="s">
        <v>222</v>
      </c>
      <c r="D198" t="s">
        <v>65</v>
      </c>
      <c r="E198" t="s">
        <v>22</v>
      </c>
      <c r="F198" t="s">
        <v>44</v>
      </c>
      <c r="G198" t="s">
        <v>28</v>
      </c>
      <c r="H198">
        <v>6377</v>
      </c>
      <c r="I198">
        <v>5903.79</v>
      </c>
      <c r="J198">
        <v>5903.79</v>
      </c>
      <c r="K198">
        <v>473.21</v>
      </c>
      <c r="L198">
        <v>473.21</v>
      </c>
      <c r="M198" t="s">
        <v>19</v>
      </c>
      <c r="N198">
        <v>99</v>
      </c>
    </row>
    <row r="199" spans="1:14" x14ac:dyDescent="0.35">
      <c r="A199">
        <v>100198</v>
      </c>
      <c r="B199">
        <v>68336</v>
      </c>
      <c r="C199" t="s">
        <v>71</v>
      </c>
      <c r="D199" t="s">
        <v>34</v>
      </c>
      <c r="E199" t="s">
        <v>31</v>
      </c>
      <c r="F199" t="s">
        <v>27</v>
      </c>
      <c r="G199" t="s">
        <v>24</v>
      </c>
      <c r="H199">
        <v>15798</v>
      </c>
      <c r="I199">
        <v>13364.47</v>
      </c>
      <c r="J199">
        <v>13364.47</v>
      </c>
      <c r="K199">
        <v>2433.5300000000002</v>
      </c>
      <c r="L199">
        <v>2433.5300000000002</v>
      </c>
      <c r="M199" t="s">
        <v>19</v>
      </c>
      <c r="N199">
        <v>105</v>
      </c>
    </row>
    <row r="200" spans="1:14" x14ac:dyDescent="0.35">
      <c r="A200">
        <v>100199</v>
      </c>
      <c r="B200">
        <v>76430</v>
      </c>
      <c r="C200" t="s">
        <v>89</v>
      </c>
      <c r="D200" t="s">
        <v>49</v>
      </c>
      <c r="E200" t="s">
        <v>43</v>
      </c>
      <c r="F200" t="s">
        <v>61</v>
      </c>
      <c r="G200" t="s">
        <v>38</v>
      </c>
      <c r="H200">
        <v>24693</v>
      </c>
      <c r="I200">
        <v>18837.34</v>
      </c>
      <c r="J200">
        <v>18837.34</v>
      </c>
      <c r="K200">
        <v>5855.66</v>
      </c>
      <c r="L200">
        <v>5855.66</v>
      </c>
      <c r="M200" t="s">
        <v>19</v>
      </c>
      <c r="N200">
        <v>163</v>
      </c>
    </row>
    <row r="201" spans="1:14" x14ac:dyDescent="0.35">
      <c r="A201">
        <v>100200</v>
      </c>
      <c r="B201">
        <v>48336</v>
      </c>
      <c r="C201" t="s">
        <v>223</v>
      </c>
      <c r="D201" t="s">
        <v>15</v>
      </c>
      <c r="E201" t="s">
        <v>56</v>
      </c>
      <c r="F201" t="s">
        <v>61</v>
      </c>
      <c r="G201" t="s">
        <v>45</v>
      </c>
      <c r="H201">
        <v>13638</v>
      </c>
      <c r="I201">
        <v>9744.61</v>
      </c>
      <c r="J201">
        <v>871.48</v>
      </c>
      <c r="K201">
        <v>3893.39</v>
      </c>
      <c r="L201">
        <v>12766.52</v>
      </c>
      <c r="M201" t="s">
        <v>50</v>
      </c>
      <c r="N201">
        <v>174</v>
      </c>
    </row>
    <row r="202" spans="1:14" x14ac:dyDescent="0.35">
      <c r="A202">
        <v>100201</v>
      </c>
      <c r="B202">
        <v>25925</v>
      </c>
      <c r="C202" t="s">
        <v>224</v>
      </c>
      <c r="D202" t="s">
        <v>15</v>
      </c>
      <c r="E202" t="s">
        <v>41</v>
      </c>
      <c r="F202" t="s">
        <v>35</v>
      </c>
      <c r="G202" t="s">
        <v>47</v>
      </c>
      <c r="H202">
        <v>11173</v>
      </c>
      <c r="I202">
        <v>7363.9</v>
      </c>
      <c r="J202">
        <v>1428.6</v>
      </c>
      <c r="K202">
        <v>3809.1</v>
      </c>
      <c r="L202">
        <v>9744.4</v>
      </c>
      <c r="M202" t="s">
        <v>50</v>
      </c>
      <c r="N202">
        <v>169</v>
      </c>
    </row>
    <row r="203" spans="1:14" x14ac:dyDescent="0.35">
      <c r="A203">
        <v>100202</v>
      </c>
      <c r="B203">
        <v>80768</v>
      </c>
      <c r="C203" t="s">
        <v>225</v>
      </c>
      <c r="D203" t="s">
        <v>65</v>
      </c>
      <c r="E203" t="s">
        <v>22</v>
      </c>
      <c r="F203" t="s">
        <v>61</v>
      </c>
      <c r="G203" t="s">
        <v>28</v>
      </c>
      <c r="H203">
        <v>2334</v>
      </c>
      <c r="I203">
        <v>1325.9</v>
      </c>
      <c r="J203">
        <v>1325.9</v>
      </c>
      <c r="K203">
        <v>1008.1</v>
      </c>
      <c r="L203">
        <v>1008.1</v>
      </c>
      <c r="M203" t="s">
        <v>19</v>
      </c>
      <c r="N203">
        <v>81</v>
      </c>
    </row>
    <row r="204" spans="1:14" x14ac:dyDescent="0.35">
      <c r="A204">
        <v>100203</v>
      </c>
      <c r="B204">
        <v>65146</v>
      </c>
      <c r="C204" t="s">
        <v>42</v>
      </c>
      <c r="D204" t="s">
        <v>21</v>
      </c>
      <c r="E204" t="s">
        <v>26</v>
      </c>
      <c r="F204" t="s">
        <v>61</v>
      </c>
      <c r="G204" t="s">
        <v>18</v>
      </c>
      <c r="H204">
        <v>23905</v>
      </c>
      <c r="I204">
        <v>13172.63</v>
      </c>
      <c r="J204">
        <v>10665.08</v>
      </c>
      <c r="K204">
        <v>10732.37</v>
      </c>
      <c r="L204">
        <v>13239.92</v>
      </c>
      <c r="M204" t="s">
        <v>39</v>
      </c>
      <c r="N204">
        <v>126</v>
      </c>
    </row>
    <row r="205" spans="1:14" x14ac:dyDescent="0.35">
      <c r="A205">
        <v>100204</v>
      </c>
      <c r="B205">
        <v>97642</v>
      </c>
      <c r="C205" t="s">
        <v>226</v>
      </c>
      <c r="D205" t="s">
        <v>49</v>
      </c>
      <c r="E205" t="s">
        <v>31</v>
      </c>
      <c r="F205" t="s">
        <v>17</v>
      </c>
      <c r="G205" t="s">
        <v>18</v>
      </c>
      <c r="H205">
        <v>5899</v>
      </c>
      <c r="I205">
        <v>4604.8599999999997</v>
      </c>
      <c r="J205">
        <v>2782.42</v>
      </c>
      <c r="K205">
        <v>1294.1400000000001</v>
      </c>
      <c r="L205">
        <v>3116.58</v>
      </c>
      <c r="M205" t="s">
        <v>39</v>
      </c>
      <c r="N205">
        <v>23</v>
      </c>
    </row>
    <row r="206" spans="1:14" x14ac:dyDescent="0.35">
      <c r="A206">
        <v>100205</v>
      </c>
      <c r="B206">
        <v>18255</v>
      </c>
      <c r="C206" t="s">
        <v>227</v>
      </c>
      <c r="D206" t="s">
        <v>30</v>
      </c>
      <c r="E206" t="s">
        <v>41</v>
      </c>
      <c r="F206" t="s">
        <v>35</v>
      </c>
      <c r="G206" t="s">
        <v>45</v>
      </c>
      <c r="H206">
        <v>20576</v>
      </c>
      <c r="I206">
        <v>14287.29</v>
      </c>
      <c r="J206">
        <v>14287.29</v>
      </c>
      <c r="K206">
        <v>6288.71</v>
      </c>
      <c r="L206">
        <v>6288.71</v>
      </c>
      <c r="M206" t="s">
        <v>19</v>
      </c>
      <c r="N206">
        <v>60</v>
      </c>
    </row>
    <row r="207" spans="1:14" x14ac:dyDescent="0.35">
      <c r="A207">
        <v>100206</v>
      </c>
      <c r="B207">
        <v>50131</v>
      </c>
      <c r="C207" t="s">
        <v>228</v>
      </c>
      <c r="D207" t="s">
        <v>34</v>
      </c>
      <c r="E207" t="s">
        <v>26</v>
      </c>
      <c r="F207" t="s">
        <v>61</v>
      </c>
      <c r="G207" t="s">
        <v>28</v>
      </c>
      <c r="H207">
        <v>12000</v>
      </c>
      <c r="I207">
        <v>8405.1</v>
      </c>
      <c r="J207">
        <v>0</v>
      </c>
      <c r="K207">
        <v>3594.9</v>
      </c>
      <c r="L207">
        <v>12000</v>
      </c>
      <c r="M207" t="s">
        <v>62</v>
      </c>
      <c r="N207">
        <v>173</v>
      </c>
    </row>
    <row r="208" spans="1:14" x14ac:dyDescent="0.35">
      <c r="A208">
        <v>100207</v>
      </c>
      <c r="B208">
        <v>52421</v>
      </c>
      <c r="C208" t="s">
        <v>125</v>
      </c>
      <c r="D208" t="s">
        <v>21</v>
      </c>
      <c r="E208" t="s">
        <v>56</v>
      </c>
      <c r="F208" t="s">
        <v>17</v>
      </c>
      <c r="G208" t="s">
        <v>18</v>
      </c>
      <c r="H208">
        <v>21585</v>
      </c>
      <c r="I208">
        <v>16676.57</v>
      </c>
      <c r="J208">
        <v>16676.57</v>
      </c>
      <c r="K208">
        <v>4908.43</v>
      </c>
      <c r="L208">
        <v>4908.43</v>
      </c>
      <c r="M208" t="s">
        <v>19</v>
      </c>
      <c r="N208">
        <v>27</v>
      </c>
    </row>
    <row r="209" spans="1:14" x14ac:dyDescent="0.35">
      <c r="A209">
        <v>100208</v>
      </c>
      <c r="B209">
        <v>31125</v>
      </c>
      <c r="C209" t="s">
        <v>229</v>
      </c>
      <c r="D209" t="s">
        <v>65</v>
      </c>
      <c r="E209" t="s">
        <v>31</v>
      </c>
      <c r="F209" t="s">
        <v>61</v>
      </c>
      <c r="G209" t="s">
        <v>45</v>
      </c>
      <c r="H209">
        <v>13300</v>
      </c>
      <c r="I209">
        <v>11797.89</v>
      </c>
      <c r="J209">
        <v>11797.89</v>
      </c>
      <c r="K209">
        <v>1502.11</v>
      </c>
      <c r="L209">
        <v>1502.11</v>
      </c>
      <c r="M209" t="s">
        <v>19</v>
      </c>
      <c r="N209">
        <v>5</v>
      </c>
    </row>
    <row r="210" spans="1:14" x14ac:dyDescent="0.35">
      <c r="A210">
        <v>100209</v>
      </c>
      <c r="B210">
        <v>45593</v>
      </c>
      <c r="C210" t="s">
        <v>230</v>
      </c>
      <c r="D210" t="s">
        <v>30</v>
      </c>
      <c r="E210" t="s">
        <v>22</v>
      </c>
      <c r="F210" t="s">
        <v>32</v>
      </c>
      <c r="G210" t="s">
        <v>38</v>
      </c>
      <c r="H210">
        <v>18843</v>
      </c>
      <c r="I210">
        <v>10898.5</v>
      </c>
      <c r="J210">
        <v>0</v>
      </c>
      <c r="K210">
        <v>7944.5</v>
      </c>
      <c r="L210">
        <v>18843</v>
      </c>
      <c r="M210" t="s">
        <v>62</v>
      </c>
      <c r="N210">
        <v>98</v>
      </c>
    </row>
    <row r="211" spans="1:14" x14ac:dyDescent="0.35">
      <c r="A211">
        <v>100210</v>
      </c>
      <c r="B211">
        <v>54707</v>
      </c>
      <c r="C211" t="s">
        <v>231</v>
      </c>
      <c r="D211" t="s">
        <v>49</v>
      </c>
      <c r="E211" t="s">
        <v>37</v>
      </c>
      <c r="F211" t="s">
        <v>23</v>
      </c>
      <c r="G211" t="s">
        <v>28</v>
      </c>
      <c r="H211">
        <v>24357</v>
      </c>
      <c r="I211">
        <v>15194.37</v>
      </c>
      <c r="J211">
        <v>6784.61</v>
      </c>
      <c r="K211">
        <v>9162.6299999999992</v>
      </c>
      <c r="L211">
        <v>17572.39</v>
      </c>
      <c r="M211" t="s">
        <v>39</v>
      </c>
      <c r="N211">
        <v>147</v>
      </c>
    </row>
    <row r="212" spans="1:14" x14ac:dyDescent="0.35">
      <c r="A212">
        <v>100211</v>
      </c>
      <c r="B212">
        <v>56504</v>
      </c>
      <c r="C212" t="s">
        <v>232</v>
      </c>
      <c r="D212" t="s">
        <v>15</v>
      </c>
      <c r="E212" t="s">
        <v>22</v>
      </c>
      <c r="F212" t="s">
        <v>54</v>
      </c>
      <c r="G212" t="s">
        <v>24</v>
      </c>
      <c r="H212">
        <v>22728</v>
      </c>
      <c r="I212">
        <v>16994.59</v>
      </c>
      <c r="J212">
        <v>16994.59</v>
      </c>
      <c r="K212">
        <v>5733.41</v>
      </c>
      <c r="L212">
        <v>5733.41</v>
      </c>
      <c r="M212" t="s">
        <v>19</v>
      </c>
      <c r="N212">
        <v>136</v>
      </c>
    </row>
    <row r="213" spans="1:14" x14ac:dyDescent="0.35">
      <c r="A213">
        <v>100212</v>
      </c>
      <c r="B213">
        <v>11286</v>
      </c>
      <c r="C213" t="s">
        <v>233</v>
      </c>
      <c r="D213" t="s">
        <v>49</v>
      </c>
      <c r="E213" t="s">
        <v>41</v>
      </c>
      <c r="F213" t="s">
        <v>61</v>
      </c>
      <c r="G213" t="s">
        <v>45</v>
      </c>
      <c r="H213">
        <v>1734</v>
      </c>
      <c r="I213">
        <v>1038.75</v>
      </c>
      <c r="J213">
        <v>1038.75</v>
      </c>
      <c r="K213">
        <v>695.25</v>
      </c>
      <c r="L213">
        <v>695.25</v>
      </c>
      <c r="M213" t="s">
        <v>19</v>
      </c>
      <c r="N213">
        <v>173</v>
      </c>
    </row>
    <row r="214" spans="1:14" x14ac:dyDescent="0.35">
      <c r="A214">
        <v>100213</v>
      </c>
      <c r="B214">
        <v>17433</v>
      </c>
      <c r="C214" t="s">
        <v>234</v>
      </c>
      <c r="D214" t="s">
        <v>52</v>
      </c>
      <c r="E214" t="s">
        <v>16</v>
      </c>
      <c r="F214" t="s">
        <v>35</v>
      </c>
      <c r="G214" t="s">
        <v>18</v>
      </c>
      <c r="H214">
        <v>17172</v>
      </c>
      <c r="I214">
        <v>11789.06</v>
      </c>
      <c r="J214">
        <v>11789.06</v>
      </c>
      <c r="K214">
        <v>5382.94</v>
      </c>
      <c r="L214">
        <v>5382.94</v>
      </c>
      <c r="M214" t="s">
        <v>19</v>
      </c>
      <c r="N214">
        <v>32</v>
      </c>
    </row>
    <row r="215" spans="1:14" x14ac:dyDescent="0.35">
      <c r="A215">
        <v>100214</v>
      </c>
      <c r="B215">
        <v>23288</v>
      </c>
      <c r="C215" t="s">
        <v>235</v>
      </c>
      <c r="D215" t="s">
        <v>34</v>
      </c>
      <c r="E215" t="s">
        <v>22</v>
      </c>
      <c r="F215" t="s">
        <v>44</v>
      </c>
      <c r="G215" t="s">
        <v>45</v>
      </c>
      <c r="H215">
        <v>3803</v>
      </c>
      <c r="I215">
        <v>3176.27</v>
      </c>
      <c r="J215">
        <v>1522.73</v>
      </c>
      <c r="K215">
        <v>626.73</v>
      </c>
      <c r="L215">
        <v>2280.27</v>
      </c>
      <c r="M215" t="s">
        <v>39</v>
      </c>
      <c r="N215">
        <v>162</v>
      </c>
    </row>
    <row r="216" spans="1:14" x14ac:dyDescent="0.35">
      <c r="A216">
        <v>100215</v>
      </c>
      <c r="B216">
        <v>59657</v>
      </c>
      <c r="C216" t="s">
        <v>218</v>
      </c>
      <c r="D216" t="s">
        <v>15</v>
      </c>
      <c r="E216" t="s">
        <v>37</v>
      </c>
      <c r="F216" t="s">
        <v>17</v>
      </c>
      <c r="G216" t="s">
        <v>47</v>
      </c>
      <c r="H216">
        <v>13102</v>
      </c>
      <c r="I216">
        <v>7909.95</v>
      </c>
      <c r="J216">
        <v>97.25</v>
      </c>
      <c r="K216">
        <v>5192.05</v>
      </c>
      <c r="L216">
        <v>13004.75</v>
      </c>
      <c r="M216" t="s">
        <v>50</v>
      </c>
      <c r="N216">
        <v>86</v>
      </c>
    </row>
    <row r="217" spans="1:14" x14ac:dyDescent="0.35">
      <c r="A217">
        <v>100216</v>
      </c>
      <c r="B217">
        <v>82879</v>
      </c>
      <c r="C217" t="s">
        <v>144</v>
      </c>
      <c r="D217" t="s">
        <v>52</v>
      </c>
      <c r="E217" t="s">
        <v>37</v>
      </c>
      <c r="F217" t="s">
        <v>17</v>
      </c>
      <c r="G217" t="s">
        <v>38</v>
      </c>
      <c r="H217">
        <v>509</v>
      </c>
      <c r="I217">
        <v>473.81</v>
      </c>
      <c r="J217">
        <v>473.81</v>
      </c>
      <c r="K217">
        <v>35.19</v>
      </c>
      <c r="L217">
        <v>35.19</v>
      </c>
      <c r="M217" t="s">
        <v>19</v>
      </c>
      <c r="N217">
        <v>10</v>
      </c>
    </row>
    <row r="218" spans="1:14" x14ac:dyDescent="0.35">
      <c r="A218">
        <v>100217</v>
      </c>
      <c r="B218">
        <v>26350</v>
      </c>
      <c r="C218" t="s">
        <v>236</v>
      </c>
      <c r="D218" t="s">
        <v>15</v>
      </c>
      <c r="E218" t="s">
        <v>16</v>
      </c>
      <c r="F218" t="s">
        <v>27</v>
      </c>
      <c r="G218" t="s">
        <v>38</v>
      </c>
      <c r="H218">
        <v>6799</v>
      </c>
      <c r="I218">
        <v>4159.0600000000004</v>
      </c>
      <c r="J218">
        <v>4159.0600000000004</v>
      </c>
      <c r="K218">
        <v>2639.94</v>
      </c>
      <c r="L218">
        <v>2639.94</v>
      </c>
      <c r="M218" t="s">
        <v>19</v>
      </c>
      <c r="N218">
        <v>20</v>
      </c>
    </row>
    <row r="219" spans="1:14" x14ac:dyDescent="0.35">
      <c r="A219">
        <v>100218</v>
      </c>
      <c r="B219">
        <v>23424</v>
      </c>
      <c r="C219" t="s">
        <v>233</v>
      </c>
      <c r="D219" t="s">
        <v>52</v>
      </c>
      <c r="E219" t="s">
        <v>16</v>
      </c>
      <c r="F219" t="s">
        <v>54</v>
      </c>
      <c r="G219" t="s">
        <v>28</v>
      </c>
      <c r="H219">
        <v>17761</v>
      </c>
      <c r="I219">
        <v>10098.25</v>
      </c>
      <c r="J219">
        <v>10098.25</v>
      </c>
      <c r="K219">
        <v>7662.75</v>
      </c>
      <c r="L219">
        <v>7662.75</v>
      </c>
      <c r="M219" t="s">
        <v>19</v>
      </c>
      <c r="N219">
        <v>55</v>
      </c>
    </row>
    <row r="220" spans="1:14" x14ac:dyDescent="0.35">
      <c r="A220">
        <v>100219</v>
      </c>
      <c r="B220">
        <v>85462</v>
      </c>
      <c r="C220" t="s">
        <v>237</v>
      </c>
      <c r="D220" t="s">
        <v>15</v>
      </c>
      <c r="E220" t="s">
        <v>37</v>
      </c>
      <c r="F220" t="s">
        <v>61</v>
      </c>
      <c r="G220" t="s">
        <v>72</v>
      </c>
      <c r="H220">
        <v>23284</v>
      </c>
      <c r="I220">
        <v>19224.79</v>
      </c>
      <c r="J220">
        <v>19224.79</v>
      </c>
      <c r="K220">
        <v>4059.21</v>
      </c>
      <c r="L220">
        <v>4059.21</v>
      </c>
      <c r="M220" t="s">
        <v>19</v>
      </c>
      <c r="N220">
        <v>58</v>
      </c>
    </row>
    <row r="221" spans="1:14" x14ac:dyDescent="0.35">
      <c r="A221">
        <v>100220</v>
      </c>
      <c r="B221">
        <v>97702</v>
      </c>
      <c r="C221" t="s">
        <v>238</v>
      </c>
      <c r="D221" t="s">
        <v>30</v>
      </c>
      <c r="E221" t="s">
        <v>31</v>
      </c>
      <c r="F221" t="s">
        <v>27</v>
      </c>
      <c r="G221" t="s">
        <v>38</v>
      </c>
      <c r="H221">
        <v>19934</v>
      </c>
      <c r="I221">
        <v>12033.1</v>
      </c>
      <c r="J221">
        <v>12033.1</v>
      </c>
      <c r="K221">
        <v>7900.9</v>
      </c>
      <c r="L221">
        <v>7900.9</v>
      </c>
      <c r="M221" t="s">
        <v>19</v>
      </c>
      <c r="N221">
        <v>46</v>
      </c>
    </row>
    <row r="222" spans="1:14" x14ac:dyDescent="0.35">
      <c r="A222">
        <v>100221</v>
      </c>
      <c r="B222">
        <v>55618</v>
      </c>
      <c r="C222" t="s">
        <v>131</v>
      </c>
      <c r="D222" t="s">
        <v>65</v>
      </c>
      <c r="E222" t="s">
        <v>41</v>
      </c>
      <c r="F222" t="s">
        <v>23</v>
      </c>
      <c r="G222" t="s">
        <v>45</v>
      </c>
      <c r="H222">
        <v>12368</v>
      </c>
      <c r="I222">
        <v>7852.07</v>
      </c>
      <c r="J222">
        <v>1516.98</v>
      </c>
      <c r="K222">
        <v>4515.93</v>
      </c>
      <c r="L222">
        <v>10851.02</v>
      </c>
      <c r="M222" t="s">
        <v>50</v>
      </c>
      <c r="N222">
        <v>38</v>
      </c>
    </row>
    <row r="223" spans="1:14" x14ac:dyDescent="0.35">
      <c r="A223">
        <v>100222</v>
      </c>
      <c r="B223">
        <v>95979</v>
      </c>
      <c r="C223" t="s">
        <v>239</v>
      </c>
      <c r="D223" t="s">
        <v>15</v>
      </c>
      <c r="E223" t="s">
        <v>26</v>
      </c>
      <c r="F223" t="s">
        <v>17</v>
      </c>
      <c r="G223" t="s">
        <v>18</v>
      </c>
      <c r="H223">
        <v>8948</v>
      </c>
      <c r="I223">
        <v>6806.18</v>
      </c>
      <c r="J223">
        <v>0</v>
      </c>
      <c r="K223">
        <v>2141.8200000000002</v>
      </c>
      <c r="L223">
        <v>8948</v>
      </c>
      <c r="M223" t="s">
        <v>62</v>
      </c>
      <c r="N223">
        <v>147</v>
      </c>
    </row>
    <row r="224" spans="1:14" x14ac:dyDescent="0.35">
      <c r="A224">
        <v>100223</v>
      </c>
      <c r="B224">
        <v>46200</v>
      </c>
      <c r="C224" t="s">
        <v>240</v>
      </c>
      <c r="D224" t="s">
        <v>34</v>
      </c>
      <c r="E224" t="s">
        <v>43</v>
      </c>
      <c r="F224" t="s">
        <v>23</v>
      </c>
      <c r="G224" t="s">
        <v>18</v>
      </c>
      <c r="H224">
        <v>8535</v>
      </c>
      <c r="I224">
        <v>6875.82</v>
      </c>
      <c r="J224">
        <v>0</v>
      </c>
      <c r="K224">
        <v>1659.18</v>
      </c>
      <c r="L224">
        <v>8535</v>
      </c>
      <c r="M224" t="s">
        <v>62</v>
      </c>
      <c r="N224">
        <v>128</v>
      </c>
    </row>
    <row r="225" spans="1:14" x14ac:dyDescent="0.35">
      <c r="A225">
        <v>100224</v>
      </c>
      <c r="B225">
        <v>90009</v>
      </c>
      <c r="C225" t="s">
        <v>241</v>
      </c>
      <c r="D225" t="s">
        <v>21</v>
      </c>
      <c r="E225" t="s">
        <v>56</v>
      </c>
      <c r="F225" t="s">
        <v>35</v>
      </c>
      <c r="G225" t="s">
        <v>45</v>
      </c>
      <c r="H225">
        <v>22332</v>
      </c>
      <c r="I225">
        <v>18881.91</v>
      </c>
      <c r="J225">
        <v>18881.91</v>
      </c>
      <c r="K225">
        <v>3450.09</v>
      </c>
      <c r="L225">
        <v>3450.09</v>
      </c>
      <c r="M225" t="s">
        <v>19</v>
      </c>
      <c r="N225">
        <v>20</v>
      </c>
    </row>
    <row r="226" spans="1:14" x14ac:dyDescent="0.35">
      <c r="A226">
        <v>100225</v>
      </c>
      <c r="B226">
        <v>80684</v>
      </c>
      <c r="C226" t="s">
        <v>242</v>
      </c>
      <c r="D226" t="s">
        <v>30</v>
      </c>
      <c r="E226" t="s">
        <v>22</v>
      </c>
      <c r="F226" t="s">
        <v>27</v>
      </c>
      <c r="G226" t="s">
        <v>45</v>
      </c>
      <c r="H226">
        <v>23018</v>
      </c>
      <c r="I226">
        <v>20304.759999999998</v>
      </c>
      <c r="J226">
        <v>470.66</v>
      </c>
      <c r="K226">
        <v>2713.24</v>
      </c>
      <c r="L226">
        <v>22547.34</v>
      </c>
      <c r="M226" t="s">
        <v>50</v>
      </c>
      <c r="N226">
        <v>81</v>
      </c>
    </row>
    <row r="227" spans="1:14" x14ac:dyDescent="0.35">
      <c r="A227">
        <v>100226</v>
      </c>
      <c r="B227">
        <v>93476</v>
      </c>
      <c r="C227" t="s">
        <v>243</v>
      </c>
      <c r="D227" t="s">
        <v>30</v>
      </c>
      <c r="E227" t="s">
        <v>22</v>
      </c>
      <c r="F227" t="s">
        <v>54</v>
      </c>
      <c r="G227" t="s">
        <v>38</v>
      </c>
      <c r="H227">
        <v>19853</v>
      </c>
      <c r="I227">
        <v>11954.43</v>
      </c>
      <c r="J227">
        <v>11954.43</v>
      </c>
      <c r="K227">
        <v>7898.57</v>
      </c>
      <c r="L227">
        <v>7898.57</v>
      </c>
      <c r="M227" t="s">
        <v>19</v>
      </c>
      <c r="N227">
        <v>158</v>
      </c>
    </row>
    <row r="228" spans="1:14" x14ac:dyDescent="0.35">
      <c r="A228">
        <v>100227</v>
      </c>
      <c r="B228">
        <v>61142</v>
      </c>
      <c r="C228" t="s">
        <v>209</v>
      </c>
      <c r="D228" t="s">
        <v>49</v>
      </c>
      <c r="E228" t="s">
        <v>22</v>
      </c>
      <c r="F228" t="s">
        <v>27</v>
      </c>
      <c r="G228" t="s">
        <v>28</v>
      </c>
      <c r="H228">
        <v>19566</v>
      </c>
      <c r="I228">
        <v>16124.85</v>
      </c>
      <c r="J228">
        <v>0</v>
      </c>
      <c r="K228">
        <v>3441.15</v>
      </c>
      <c r="L228">
        <v>19566</v>
      </c>
      <c r="M228" t="s">
        <v>62</v>
      </c>
      <c r="N228">
        <v>136</v>
      </c>
    </row>
    <row r="229" spans="1:14" x14ac:dyDescent="0.35">
      <c r="A229">
        <v>100228</v>
      </c>
      <c r="B229">
        <v>53353</v>
      </c>
      <c r="C229" t="s">
        <v>244</v>
      </c>
      <c r="D229" t="s">
        <v>21</v>
      </c>
      <c r="E229" t="s">
        <v>31</v>
      </c>
      <c r="F229" t="s">
        <v>35</v>
      </c>
      <c r="G229" t="s">
        <v>28</v>
      </c>
      <c r="H229">
        <v>12485</v>
      </c>
      <c r="I229">
        <v>11765.47</v>
      </c>
      <c r="J229">
        <v>11765.47</v>
      </c>
      <c r="K229">
        <v>719.53</v>
      </c>
      <c r="L229">
        <v>719.53</v>
      </c>
      <c r="M229" t="s">
        <v>19</v>
      </c>
      <c r="N229">
        <v>61</v>
      </c>
    </row>
    <row r="230" spans="1:14" x14ac:dyDescent="0.35">
      <c r="A230">
        <v>100229</v>
      </c>
      <c r="B230">
        <v>58418</v>
      </c>
      <c r="C230" t="s">
        <v>245</v>
      </c>
      <c r="D230" t="s">
        <v>65</v>
      </c>
      <c r="E230" t="s">
        <v>37</v>
      </c>
      <c r="F230" t="s">
        <v>27</v>
      </c>
      <c r="G230" t="s">
        <v>38</v>
      </c>
      <c r="H230">
        <v>16735</v>
      </c>
      <c r="I230">
        <v>14866.93</v>
      </c>
      <c r="J230">
        <v>10155.209999999999</v>
      </c>
      <c r="K230">
        <v>1868.07</v>
      </c>
      <c r="L230">
        <v>6579.79</v>
      </c>
      <c r="M230" t="s">
        <v>39</v>
      </c>
      <c r="N230">
        <v>46</v>
      </c>
    </row>
    <row r="231" spans="1:14" x14ac:dyDescent="0.35">
      <c r="A231">
        <v>100230</v>
      </c>
      <c r="B231">
        <v>37064</v>
      </c>
      <c r="C231" t="s">
        <v>67</v>
      </c>
      <c r="D231" t="s">
        <v>21</v>
      </c>
      <c r="E231" t="s">
        <v>56</v>
      </c>
      <c r="F231" t="s">
        <v>61</v>
      </c>
      <c r="G231" t="s">
        <v>18</v>
      </c>
      <c r="H231">
        <v>9562</v>
      </c>
      <c r="I231">
        <v>8357.66</v>
      </c>
      <c r="J231">
        <v>8357.66</v>
      </c>
      <c r="K231">
        <v>1204.3399999999999</v>
      </c>
      <c r="L231">
        <v>1204.3399999999999</v>
      </c>
      <c r="M231" t="s">
        <v>19</v>
      </c>
      <c r="N231">
        <v>89</v>
      </c>
    </row>
    <row r="232" spans="1:14" x14ac:dyDescent="0.35">
      <c r="A232">
        <v>100231</v>
      </c>
      <c r="B232">
        <v>84178</v>
      </c>
      <c r="C232" t="s">
        <v>246</v>
      </c>
      <c r="D232" t="s">
        <v>15</v>
      </c>
      <c r="E232" t="s">
        <v>16</v>
      </c>
      <c r="F232" t="s">
        <v>23</v>
      </c>
      <c r="G232" t="s">
        <v>45</v>
      </c>
      <c r="H232">
        <v>19510</v>
      </c>
      <c r="I232">
        <v>15834.66</v>
      </c>
      <c r="J232">
        <v>0</v>
      </c>
      <c r="K232">
        <v>3675.34</v>
      </c>
      <c r="L232">
        <v>19510</v>
      </c>
      <c r="M232" t="s">
        <v>62</v>
      </c>
      <c r="N232">
        <v>82</v>
      </c>
    </row>
    <row r="233" spans="1:14" x14ac:dyDescent="0.35">
      <c r="A233">
        <v>100232</v>
      </c>
      <c r="B233">
        <v>61323</v>
      </c>
      <c r="C233" t="s">
        <v>247</v>
      </c>
      <c r="D233" t="s">
        <v>34</v>
      </c>
      <c r="E233" t="s">
        <v>31</v>
      </c>
      <c r="F233" t="s">
        <v>35</v>
      </c>
      <c r="G233" t="s">
        <v>38</v>
      </c>
      <c r="H233">
        <v>9658</v>
      </c>
      <c r="I233">
        <v>8141.97</v>
      </c>
      <c r="J233">
        <v>0</v>
      </c>
      <c r="K233">
        <v>1516.03</v>
      </c>
      <c r="L233">
        <v>9658</v>
      </c>
      <c r="M233" t="s">
        <v>62</v>
      </c>
      <c r="N233">
        <v>76</v>
      </c>
    </row>
    <row r="234" spans="1:14" x14ac:dyDescent="0.35">
      <c r="A234">
        <v>100233</v>
      </c>
      <c r="B234">
        <v>57096</v>
      </c>
      <c r="C234" t="s">
        <v>248</v>
      </c>
      <c r="D234" t="s">
        <v>65</v>
      </c>
      <c r="E234" t="s">
        <v>37</v>
      </c>
      <c r="F234" t="s">
        <v>61</v>
      </c>
      <c r="G234" t="s">
        <v>28</v>
      </c>
      <c r="H234">
        <v>18555</v>
      </c>
      <c r="I234">
        <v>11888.3</v>
      </c>
      <c r="J234">
        <v>11888.3</v>
      </c>
      <c r="K234">
        <v>6666.7</v>
      </c>
      <c r="L234">
        <v>6666.7</v>
      </c>
      <c r="M234" t="s">
        <v>19</v>
      </c>
      <c r="N234">
        <v>161</v>
      </c>
    </row>
    <row r="235" spans="1:14" x14ac:dyDescent="0.35">
      <c r="A235">
        <v>100234</v>
      </c>
      <c r="B235">
        <v>13479</v>
      </c>
      <c r="C235" t="s">
        <v>249</v>
      </c>
      <c r="D235" t="s">
        <v>49</v>
      </c>
      <c r="E235" t="s">
        <v>31</v>
      </c>
      <c r="F235" t="s">
        <v>44</v>
      </c>
      <c r="G235" t="s">
        <v>45</v>
      </c>
      <c r="H235">
        <v>20759</v>
      </c>
      <c r="I235">
        <v>16706.41</v>
      </c>
      <c r="J235">
        <v>16706.41</v>
      </c>
      <c r="K235">
        <v>4052.59</v>
      </c>
      <c r="L235">
        <v>4052.59</v>
      </c>
      <c r="M235" t="s">
        <v>19</v>
      </c>
      <c r="N235">
        <v>88</v>
      </c>
    </row>
    <row r="236" spans="1:14" x14ac:dyDescent="0.35">
      <c r="A236">
        <v>100235</v>
      </c>
      <c r="B236">
        <v>10296</v>
      </c>
      <c r="C236" t="s">
        <v>250</v>
      </c>
      <c r="D236" t="s">
        <v>15</v>
      </c>
      <c r="E236" t="s">
        <v>16</v>
      </c>
      <c r="F236" t="s">
        <v>44</v>
      </c>
      <c r="G236" t="s">
        <v>47</v>
      </c>
      <c r="H236">
        <v>22577</v>
      </c>
      <c r="I236">
        <v>14161.54</v>
      </c>
      <c r="J236">
        <v>14161.54</v>
      </c>
      <c r="K236">
        <v>8415.4599999999991</v>
      </c>
      <c r="L236">
        <v>8415.4599999999991</v>
      </c>
      <c r="M236" t="s">
        <v>19</v>
      </c>
      <c r="N236">
        <v>100</v>
      </c>
    </row>
    <row r="237" spans="1:14" x14ac:dyDescent="0.35">
      <c r="A237">
        <v>100236</v>
      </c>
      <c r="B237">
        <v>77607</v>
      </c>
      <c r="C237" t="s">
        <v>251</v>
      </c>
      <c r="D237" t="s">
        <v>21</v>
      </c>
      <c r="E237" t="s">
        <v>37</v>
      </c>
      <c r="F237" t="s">
        <v>61</v>
      </c>
      <c r="G237" t="s">
        <v>72</v>
      </c>
      <c r="H237">
        <v>2877</v>
      </c>
      <c r="I237">
        <v>1704.63</v>
      </c>
      <c r="J237">
        <v>153.97999999999999</v>
      </c>
      <c r="K237">
        <v>1172.3699999999999</v>
      </c>
      <c r="L237">
        <v>2723.02</v>
      </c>
      <c r="M237" t="s">
        <v>50</v>
      </c>
      <c r="N237">
        <v>88</v>
      </c>
    </row>
    <row r="238" spans="1:14" x14ac:dyDescent="0.35">
      <c r="A238">
        <v>100237</v>
      </c>
      <c r="B238">
        <v>13710</v>
      </c>
      <c r="C238" t="s">
        <v>252</v>
      </c>
      <c r="D238" t="s">
        <v>65</v>
      </c>
      <c r="E238" t="s">
        <v>56</v>
      </c>
      <c r="F238" t="s">
        <v>44</v>
      </c>
      <c r="G238" t="s">
        <v>45</v>
      </c>
      <c r="H238">
        <v>7526</v>
      </c>
      <c r="I238">
        <v>5997.09</v>
      </c>
      <c r="J238">
        <v>5997.09</v>
      </c>
      <c r="K238">
        <v>1528.91</v>
      </c>
      <c r="L238">
        <v>1528.91</v>
      </c>
      <c r="M238" t="s">
        <v>19</v>
      </c>
      <c r="N238">
        <v>115</v>
      </c>
    </row>
    <row r="239" spans="1:14" x14ac:dyDescent="0.35">
      <c r="A239">
        <v>100238</v>
      </c>
      <c r="B239">
        <v>77510</v>
      </c>
      <c r="C239" t="s">
        <v>166</v>
      </c>
      <c r="D239" t="s">
        <v>49</v>
      </c>
      <c r="E239" t="s">
        <v>26</v>
      </c>
      <c r="F239" t="s">
        <v>23</v>
      </c>
      <c r="G239" t="s">
        <v>28</v>
      </c>
      <c r="H239">
        <v>17116</v>
      </c>
      <c r="I239">
        <v>9789.89</v>
      </c>
      <c r="J239">
        <v>0</v>
      </c>
      <c r="K239">
        <v>7326.11</v>
      </c>
      <c r="L239">
        <v>17116</v>
      </c>
      <c r="M239" t="s">
        <v>62</v>
      </c>
      <c r="N239">
        <v>84</v>
      </c>
    </row>
    <row r="240" spans="1:14" x14ac:dyDescent="0.35">
      <c r="A240">
        <v>100239</v>
      </c>
      <c r="B240">
        <v>27638</v>
      </c>
      <c r="C240" t="s">
        <v>253</v>
      </c>
      <c r="D240" t="s">
        <v>34</v>
      </c>
      <c r="E240" t="s">
        <v>26</v>
      </c>
      <c r="F240" t="s">
        <v>35</v>
      </c>
      <c r="G240" t="s">
        <v>28</v>
      </c>
      <c r="H240">
        <v>20594</v>
      </c>
      <c r="I240">
        <v>17163.22</v>
      </c>
      <c r="J240">
        <v>17163.22</v>
      </c>
      <c r="K240">
        <v>3430.78</v>
      </c>
      <c r="L240">
        <v>3430.78</v>
      </c>
      <c r="M240" t="s">
        <v>19</v>
      </c>
      <c r="N240">
        <v>15</v>
      </c>
    </row>
    <row r="241" spans="1:14" x14ac:dyDescent="0.35">
      <c r="A241">
        <v>100240</v>
      </c>
      <c r="B241">
        <v>55757</v>
      </c>
      <c r="C241" t="s">
        <v>254</v>
      </c>
      <c r="D241" t="s">
        <v>30</v>
      </c>
      <c r="E241" t="s">
        <v>56</v>
      </c>
      <c r="F241" t="s">
        <v>61</v>
      </c>
      <c r="G241" t="s">
        <v>28</v>
      </c>
      <c r="H241">
        <v>18147</v>
      </c>
      <c r="I241">
        <v>10640.69</v>
      </c>
      <c r="J241">
        <v>0</v>
      </c>
      <c r="K241">
        <v>7506.31</v>
      </c>
      <c r="L241">
        <v>18147</v>
      </c>
      <c r="M241" t="s">
        <v>62</v>
      </c>
      <c r="N241">
        <v>152</v>
      </c>
    </row>
    <row r="242" spans="1:14" x14ac:dyDescent="0.35">
      <c r="A242">
        <v>100241</v>
      </c>
      <c r="B242">
        <v>22660</v>
      </c>
      <c r="C242" t="s">
        <v>255</v>
      </c>
      <c r="D242" t="s">
        <v>52</v>
      </c>
      <c r="E242" t="s">
        <v>22</v>
      </c>
      <c r="F242" t="s">
        <v>35</v>
      </c>
      <c r="G242" t="s">
        <v>47</v>
      </c>
      <c r="H242">
        <v>1934</v>
      </c>
      <c r="I242">
        <v>1427.13</v>
      </c>
      <c r="J242">
        <v>0</v>
      </c>
      <c r="K242">
        <v>506.87</v>
      </c>
      <c r="L242">
        <v>1934</v>
      </c>
      <c r="M242" t="s">
        <v>62</v>
      </c>
      <c r="N242">
        <v>161</v>
      </c>
    </row>
    <row r="243" spans="1:14" x14ac:dyDescent="0.35">
      <c r="A243">
        <v>100242</v>
      </c>
      <c r="B243">
        <v>15336</v>
      </c>
      <c r="C243" t="s">
        <v>256</v>
      </c>
      <c r="D243" t="s">
        <v>34</v>
      </c>
      <c r="E243" t="s">
        <v>22</v>
      </c>
      <c r="F243" t="s">
        <v>23</v>
      </c>
      <c r="G243" t="s">
        <v>24</v>
      </c>
      <c r="H243">
        <v>21514</v>
      </c>
      <c r="I243">
        <v>14845.44</v>
      </c>
      <c r="J243">
        <v>9839.81</v>
      </c>
      <c r="K243">
        <v>6668.56</v>
      </c>
      <c r="L243">
        <v>11674.19</v>
      </c>
      <c r="M243" t="s">
        <v>39</v>
      </c>
      <c r="N243">
        <v>115</v>
      </c>
    </row>
    <row r="244" spans="1:14" x14ac:dyDescent="0.35">
      <c r="A244">
        <v>100243</v>
      </c>
      <c r="B244">
        <v>23992</v>
      </c>
      <c r="C244" t="s">
        <v>51</v>
      </c>
      <c r="D244" t="s">
        <v>15</v>
      </c>
      <c r="E244" t="s">
        <v>56</v>
      </c>
      <c r="F244" t="s">
        <v>23</v>
      </c>
      <c r="G244" t="s">
        <v>18</v>
      </c>
      <c r="H244">
        <v>19755</v>
      </c>
      <c r="I244">
        <v>17350.3</v>
      </c>
      <c r="J244">
        <v>17350.3</v>
      </c>
      <c r="K244">
        <v>2404.6999999999998</v>
      </c>
      <c r="L244">
        <v>2404.6999999999998</v>
      </c>
      <c r="M244" t="s">
        <v>19</v>
      </c>
      <c r="N244">
        <v>30</v>
      </c>
    </row>
    <row r="245" spans="1:14" x14ac:dyDescent="0.35">
      <c r="A245">
        <v>100244</v>
      </c>
      <c r="B245">
        <v>94454</v>
      </c>
      <c r="C245" t="s">
        <v>79</v>
      </c>
      <c r="D245" t="s">
        <v>49</v>
      </c>
      <c r="E245" t="s">
        <v>43</v>
      </c>
      <c r="F245" t="s">
        <v>17</v>
      </c>
      <c r="G245" t="s">
        <v>28</v>
      </c>
      <c r="H245">
        <v>9166</v>
      </c>
      <c r="I245">
        <v>5748.23</v>
      </c>
      <c r="J245">
        <v>5748.23</v>
      </c>
      <c r="K245">
        <v>3417.77</v>
      </c>
      <c r="L245">
        <v>3417.77</v>
      </c>
      <c r="M245" t="s">
        <v>19</v>
      </c>
      <c r="N245">
        <v>40</v>
      </c>
    </row>
    <row r="246" spans="1:14" x14ac:dyDescent="0.35">
      <c r="A246">
        <v>100245</v>
      </c>
      <c r="B246">
        <v>33028</v>
      </c>
      <c r="C246" t="s">
        <v>257</v>
      </c>
      <c r="D246" t="s">
        <v>65</v>
      </c>
      <c r="E246" t="s">
        <v>26</v>
      </c>
      <c r="F246" t="s">
        <v>27</v>
      </c>
      <c r="G246" t="s">
        <v>28</v>
      </c>
      <c r="H246">
        <v>22241</v>
      </c>
      <c r="I246">
        <v>16401.66</v>
      </c>
      <c r="J246">
        <v>9545.2900000000009</v>
      </c>
      <c r="K246">
        <v>5839.34</v>
      </c>
      <c r="L246">
        <v>12695.71</v>
      </c>
      <c r="M246" t="s">
        <v>39</v>
      </c>
      <c r="N246">
        <v>142</v>
      </c>
    </row>
    <row r="247" spans="1:14" x14ac:dyDescent="0.35">
      <c r="A247">
        <v>100246</v>
      </c>
      <c r="B247">
        <v>19478</v>
      </c>
      <c r="C247" t="s">
        <v>258</v>
      </c>
      <c r="D247" t="s">
        <v>21</v>
      </c>
      <c r="E247" t="s">
        <v>26</v>
      </c>
      <c r="F247" t="s">
        <v>44</v>
      </c>
      <c r="G247" t="s">
        <v>18</v>
      </c>
      <c r="H247">
        <v>9754</v>
      </c>
      <c r="I247">
        <v>7830.41</v>
      </c>
      <c r="J247">
        <v>7830.41</v>
      </c>
      <c r="K247">
        <v>1923.59</v>
      </c>
      <c r="L247">
        <v>1923.59</v>
      </c>
      <c r="M247" t="s">
        <v>19</v>
      </c>
      <c r="N247">
        <v>19</v>
      </c>
    </row>
    <row r="248" spans="1:14" x14ac:dyDescent="0.35">
      <c r="A248">
        <v>100247</v>
      </c>
      <c r="B248">
        <v>43037</v>
      </c>
      <c r="C248" t="s">
        <v>259</v>
      </c>
      <c r="D248" t="s">
        <v>15</v>
      </c>
      <c r="E248" t="s">
        <v>26</v>
      </c>
      <c r="F248" t="s">
        <v>61</v>
      </c>
      <c r="G248" t="s">
        <v>47</v>
      </c>
      <c r="H248">
        <v>24481</v>
      </c>
      <c r="I248">
        <v>16499.88</v>
      </c>
      <c r="J248">
        <v>7318.65</v>
      </c>
      <c r="K248">
        <v>7981.12</v>
      </c>
      <c r="L248">
        <v>17162.349999999999</v>
      </c>
      <c r="M248" t="s">
        <v>39</v>
      </c>
      <c r="N248">
        <v>116</v>
      </c>
    </row>
    <row r="249" spans="1:14" x14ac:dyDescent="0.35">
      <c r="A249">
        <v>100248</v>
      </c>
      <c r="B249">
        <v>76582</v>
      </c>
      <c r="C249" t="s">
        <v>174</v>
      </c>
      <c r="D249" t="s">
        <v>49</v>
      </c>
      <c r="E249" t="s">
        <v>16</v>
      </c>
      <c r="F249" t="s">
        <v>17</v>
      </c>
      <c r="G249" t="s">
        <v>47</v>
      </c>
      <c r="H249">
        <v>5433</v>
      </c>
      <c r="I249">
        <v>3772.78</v>
      </c>
      <c r="J249">
        <v>1652.84</v>
      </c>
      <c r="K249">
        <v>1660.22</v>
      </c>
      <c r="L249">
        <v>3780.16</v>
      </c>
      <c r="M249" t="s">
        <v>39</v>
      </c>
      <c r="N249">
        <v>3</v>
      </c>
    </row>
    <row r="250" spans="1:14" x14ac:dyDescent="0.35">
      <c r="A250">
        <v>100249</v>
      </c>
      <c r="B250">
        <v>35706</v>
      </c>
      <c r="C250" t="s">
        <v>260</v>
      </c>
      <c r="D250" t="s">
        <v>30</v>
      </c>
      <c r="E250" t="s">
        <v>16</v>
      </c>
      <c r="F250" t="s">
        <v>17</v>
      </c>
      <c r="G250" t="s">
        <v>28</v>
      </c>
      <c r="H250">
        <v>9641</v>
      </c>
      <c r="I250">
        <v>7883.05</v>
      </c>
      <c r="J250">
        <v>7883.05</v>
      </c>
      <c r="K250">
        <v>1757.95</v>
      </c>
      <c r="L250">
        <v>1757.95</v>
      </c>
      <c r="M250" t="s">
        <v>19</v>
      </c>
      <c r="N250">
        <v>93</v>
      </c>
    </row>
    <row r="251" spans="1:14" x14ac:dyDescent="0.35">
      <c r="A251">
        <v>100250</v>
      </c>
      <c r="B251">
        <v>14544</v>
      </c>
      <c r="C251" t="s">
        <v>261</v>
      </c>
      <c r="D251" t="s">
        <v>52</v>
      </c>
      <c r="E251" t="s">
        <v>22</v>
      </c>
      <c r="F251" t="s">
        <v>27</v>
      </c>
      <c r="G251" t="s">
        <v>72</v>
      </c>
      <c r="H251">
        <v>4396</v>
      </c>
      <c r="I251">
        <v>3071.74</v>
      </c>
      <c r="J251">
        <v>3071.74</v>
      </c>
      <c r="K251">
        <v>1324.26</v>
      </c>
      <c r="L251">
        <v>1324.26</v>
      </c>
      <c r="M251" t="s">
        <v>19</v>
      </c>
      <c r="N251">
        <v>22</v>
      </c>
    </row>
    <row r="252" spans="1:14" x14ac:dyDescent="0.35">
      <c r="A252">
        <v>100251</v>
      </c>
      <c r="B252">
        <v>16664</v>
      </c>
      <c r="C252" t="s">
        <v>255</v>
      </c>
      <c r="D252" t="s">
        <v>30</v>
      </c>
      <c r="E252" t="s">
        <v>31</v>
      </c>
      <c r="F252" t="s">
        <v>35</v>
      </c>
      <c r="G252" t="s">
        <v>47</v>
      </c>
      <c r="H252">
        <v>13265</v>
      </c>
      <c r="I252">
        <v>7686.81</v>
      </c>
      <c r="J252">
        <v>3812.55</v>
      </c>
      <c r="K252">
        <v>5578.19</v>
      </c>
      <c r="L252">
        <v>9452.4500000000007</v>
      </c>
      <c r="M252" t="s">
        <v>39</v>
      </c>
      <c r="N252">
        <v>108</v>
      </c>
    </row>
    <row r="253" spans="1:14" x14ac:dyDescent="0.35">
      <c r="A253">
        <v>100252</v>
      </c>
      <c r="B253">
        <v>36776</v>
      </c>
      <c r="C253" t="s">
        <v>262</v>
      </c>
      <c r="D253" t="s">
        <v>49</v>
      </c>
      <c r="E253" t="s">
        <v>16</v>
      </c>
      <c r="F253" t="s">
        <v>27</v>
      </c>
      <c r="G253" t="s">
        <v>45</v>
      </c>
      <c r="H253">
        <v>2376</v>
      </c>
      <c r="I253">
        <v>1837.97</v>
      </c>
      <c r="J253">
        <v>1837.97</v>
      </c>
      <c r="K253">
        <v>538.03</v>
      </c>
      <c r="L253">
        <v>538.03</v>
      </c>
      <c r="M253" t="s">
        <v>19</v>
      </c>
      <c r="N253">
        <v>153</v>
      </c>
    </row>
    <row r="254" spans="1:14" x14ac:dyDescent="0.35">
      <c r="A254">
        <v>100253</v>
      </c>
      <c r="B254">
        <v>12132</v>
      </c>
      <c r="C254" t="s">
        <v>263</v>
      </c>
      <c r="D254" t="s">
        <v>15</v>
      </c>
      <c r="E254" t="s">
        <v>16</v>
      </c>
      <c r="F254" t="s">
        <v>17</v>
      </c>
      <c r="G254" t="s">
        <v>18</v>
      </c>
      <c r="H254">
        <v>14012</v>
      </c>
      <c r="I254">
        <v>9667.7999999999993</v>
      </c>
      <c r="J254">
        <v>4988.1400000000003</v>
      </c>
      <c r="K254">
        <v>4344.2</v>
      </c>
      <c r="L254">
        <v>9023.86</v>
      </c>
      <c r="M254" t="s">
        <v>39</v>
      </c>
      <c r="N254">
        <v>111</v>
      </c>
    </row>
    <row r="255" spans="1:14" x14ac:dyDescent="0.35">
      <c r="A255">
        <v>100254</v>
      </c>
      <c r="B255">
        <v>40516</v>
      </c>
      <c r="C255" t="s">
        <v>264</v>
      </c>
      <c r="D255" t="s">
        <v>34</v>
      </c>
      <c r="E255" t="s">
        <v>26</v>
      </c>
      <c r="F255" t="s">
        <v>35</v>
      </c>
      <c r="G255" t="s">
        <v>45</v>
      </c>
      <c r="H255">
        <v>3457</v>
      </c>
      <c r="I255">
        <v>3252.58</v>
      </c>
      <c r="J255">
        <v>3252.58</v>
      </c>
      <c r="K255">
        <v>204.42</v>
      </c>
      <c r="L255">
        <v>204.42</v>
      </c>
      <c r="M255" t="s">
        <v>19</v>
      </c>
      <c r="N255">
        <v>124</v>
      </c>
    </row>
    <row r="256" spans="1:14" x14ac:dyDescent="0.35">
      <c r="A256">
        <v>100255</v>
      </c>
      <c r="B256">
        <v>95000</v>
      </c>
      <c r="C256" t="s">
        <v>265</v>
      </c>
      <c r="D256" t="s">
        <v>15</v>
      </c>
      <c r="E256" t="s">
        <v>43</v>
      </c>
      <c r="F256" t="s">
        <v>61</v>
      </c>
      <c r="G256" t="s">
        <v>38</v>
      </c>
      <c r="H256">
        <v>3956</v>
      </c>
      <c r="I256">
        <v>2185.5500000000002</v>
      </c>
      <c r="J256">
        <v>2185.5500000000002</v>
      </c>
      <c r="K256">
        <v>1770.45</v>
      </c>
      <c r="L256">
        <v>1770.45</v>
      </c>
      <c r="M256" t="s">
        <v>19</v>
      </c>
      <c r="N256">
        <v>71</v>
      </c>
    </row>
    <row r="257" spans="1:14" x14ac:dyDescent="0.35">
      <c r="A257">
        <v>100256</v>
      </c>
      <c r="B257">
        <v>25404</v>
      </c>
      <c r="C257" t="s">
        <v>102</v>
      </c>
      <c r="D257" t="s">
        <v>21</v>
      </c>
      <c r="E257" t="s">
        <v>26</v>
      </c>
      <c r="F257" t="s">
        <v>27</v>
      </c>
      <c r="G257" t="s">
        <v>72</v>
      </c>
      <c r="H257">
        <v>18719</v>
      </c>
      <c r="I257">
        <v>11935.71</v>
      </c>
      <c r="J257">
        <v>11935.71</v>
      </c>
      <c r="K257">
        <v>6783.29</v>
      </c>
      <c r="L257">
        <v>6783.29</v>
      </c>
      <c r="M257" t="s">
        <v>19</v>
      </c>
      <c r="N257">
        <v>78</v>
      </c>
    </row>
    <row r="258" spans="1:14" x14ac:dyDescent="0.35">
      <c r="A258">
        <v>100257</v>
      </c>
      <c r="B258">
        <v>32913</v>
      </c>
      <c r="C258" t="s">
        <v>227</v>
      </c>
      <c r="D258" t="s">
        <v>34</v>
      </c>
      <c r="E258" t="s">
        <v>31</v>
      </c>
      <c r="F258" t="s">
        <v>35</v>
      </c>
      <c r="G258" t="s">
        <v>47</v>
      </c>
      <c r="H258">
        <v>3517</v>
      </c>
      <c r="I258">
        <v>2328.94</v>
      </c>
      <c r="J258">
        <v>2328.94</v>
      </c>
      <c r="K258">
        <v>1188.06</v>
      </c>
      <c r="L258">
        <v>1188.06</v>
      </c>
      <c r="M258" t="s">
        <v>19</v>
      </c>
      <c r="N258">
        <v>174</v>
      </c>
    </row>
    <row r="259" spans="1:14" x14ac:dyDescent="0.35">
      <c r="A259">
        <v>100258</v>
      </c>
      <c r="B259">
        <v>98938</v>
      </c>
      <c r="C259" t="s">
        <v>266</v>
      </c>
      <c r="D259" t="s">
        <v>21</v>
      </c>
      <c r="E259" t="s">
        <v>37</v>
      </c>
      <c r="F259" t="s">
        <v>32</v>
      </c>
      <c r="G259" t="s">
        <v>38</v>
      </c>
      <c r="H259">
        <v>19147</v>
      </c>
      <c r="I259">
        <v>14462.85</v>
      </c>
      <c r="J259">
        <v>14462.85</v>
      </c>
      <c r="K259">
        <v>4684.1499999999996</v>
      </c>
      <c r="L259">
        <v>4684.1499999999996</v>
      </c>
      <c r="M259" t="s">
        <v>19</v>
      </c>
      <c r="N259">
        <v>113</v>
      </c>
    </row>
    <row r="260" spans="1:14" x14ac:dyDescent="0.35">
      <c r="A260">
        <v>100259</v>
      </c>
      <c r="B260">
        <v>38892</v>
      </c>
      <c r="C260" t="s">
        <v>154</v>
      </c>
      <c r="D260" t="s">
        <v>65</v>
      </c>
      <c r="E260" t="s">
        <v>31</v>
      </c>
      <c r="F260" t="s">
        <v>61</v>
      </c>
      <c r="G260" t="s">
        <v>18</v>
      </c>
      <c r="H260">
        <v>4108</v>
      </c>
      <c r="I260">
        <v>2330</v>
      </c>
      <c r="J260">
        <v>2330</v>
      </c>
      <c r="K260">
        <v>1778</v>
      </c>
      <c r="L260">
        <v>1778</v>
      </c>
      <c r="M260" t="s">
        <v>19</v>
      </c>
      <c r="N260">
        <v>106</v>
      </c>
    </row>
    <row r="261" spans="1:14" x14ac:dyDescent="0.35">
      <c r="A261">
        <v>100260</v>
      </c>
      <c r="B261">
        <v>92475</v>
      </c>
      <c r="C261" t="s">
        <v>267</v>
      </c>
      <c r="D261" t="s">
        <v>49</v>
      </c>
      <c r="E261" t="s">
        <v>22</v>
      </c>
      <c r="F261" t="s">
        <v>32</v>
      </c>
      <c r="G261" t="s">
        <v>18</v>
      </c>
      <c r="H261">
        <v>21490</v>
      </c>
      <c r="I261">
        <v>12570.31</v>
      </c>
      <c r="J261">
        <v>12570.31</v>
      </c>
      <c r="K261">
        <v>8919.69</v>
      </c>
      <c r="L261">
        <v>8919.69</v>
      </c>
      <c r="M261" t="s">
        <v>19</v>
      </c>
      <c r="N261">
        <v>173</v>
      </c>
    </row>
    <row r="262" spans="1:14" x14ac:dyDescent="0.35">
      <c r="A262">
        <v>100261</v>
      </c>
      <c r="B262">
        <v>63679</v>
      </c>
      <c r="C262" t="s">
        <v>268</v>
      </c>
      <c r="D262" t="s">
        <v>21</v>
      </c>
      <c r="E262" t="s">
        <v>22</v>
      </c>
      <c r="F262" t="s">
        <v>17</v>
      </c>
      <c r="G262" t="s">
        <v>38</v>
      </c>
      <c r="H262">
        <v>5753</v>
      </c>
      <c r="I262">
        <v>4395.87</v>
      </c>
      <c r="J262">
        <v>4395.87</v>
      </c>
      <c r="K262">
        <v>1357.13</v>
      </c>
      <c r="L262">
        <v>1357.13</v>
      </c>
      <c r="M262" t="s">
        <v>19</v>
      </c>
      <c r="N262">
        <v>34</v>
      </c>
    </row>
    <row r="263" spans="1:14" x14ac:dyDescent="0.35">
      <c r="A263">
        <v>100262</v>
      </c>
      <c r="B263">
        <v>11182</v>
      </c>
      <c r="C263" t="s">
        <v>236</v>
      </c>
      <c r="D263" t="s">
        <v>15</v>
      </c>
      <c r="E263" t="s">
        <v>31</v>
      </c>
      <c r="F263" t="s">
        <v>17</v>
      </c>
      <c r="G263" t="s">
        <v>72</v>
      </c>
      <c r="H263">
        <v>1045</v>
      </c>
      <c r="I263">
        <v>717.18</v>
      </c>
      <c r="J263">
        <v>0</v>
      </c>
      <c r="K263">
        <v>327.82</v>
      </c>
      <c r="L263">
        <v>1045</v>
      </c>
      <c r="M263" t="s">
        <v>62</v>
      </c>
      <c r="N263">
        <v>5</v>
      </c>
    </row>
    <row r="264" spans="1:14" x14ac:dyDescent="0.35">
      <c r="A264">
        <v>100263</v>
      </c>
      <c r="B264">
        <v>77726</v>
      </c>
      <c r="C264" t="s">
        <v>269</v>
      </c>
      <c r="D264" t="s">
        <v>30</v>
      </c>
      <c r="E264" t="s">
        <v>37</v>
      </c>
      <c r="F264" t="s">
        <v>27</v>
      </c>
      <c r="G264" t="s">
        <v>47</v>
      </c>
      <c r="H264">
        <v>14368</v>
      </c>
      <c r="I264">
        <v>13012.3</v>
      </c>
      <c r="J264">
        <v>10979.83</v>
      </c>
      <c r="K264">
        <v>1355.7</v>
      </c>
      <c r="L264">
        <v>3388.17</v>
      </c>
      <c r="M264" t="s">
        <v>39</v>
      </c>
      <c r="N264">
        <v>132</v>
      </c>
    </row>
    <row r="265" spans="1:14" x14ac:dyDescent="0.35">
      <c r="A265">
        <v>100264</v>
      </c>
      <c r="B265">
        <v>17199</v>
      </c>
      <c r="C265" t="s">
        <v>270</v>
      </c>
      <c r="D265" t="s">
        <v>34</v>
      </c>
      <c r="E265" t="s">
        <v>43</v>
      </c>
      <c r="F265" t="s">
        <v>17</v>
      </c>
      <c r="G265" t="s">
        <v>45</v>
      </c>
      <c r="H265">
        <v>1086</v>
      </c>
      <c r="I265">
        <v>1014.89</v>
      </c>
      <c r="J265">
        <v>1014.89</v>
      </c>
      <c r="K265">
        <v>71.11</v>
      </c>
      <c r="L265">
        <v>71.11</v>
      </c>
      <c r="M265" t="s">
        <v>19</v>
      </c>
      <c r="N265">
        <v>26</v>
      </c>
    </row>
    <row r="266" spans="1:14" x14ac:dyDescent="0.35">
      <c r="A266">
        <v>100265</v>
      </c>
      <c r="B266">
        <v>70585</v>
      </c>
      <c r="C266" t="s">
        <v>271</v>
      </c>
      <c r="D266" t="s">
        <v>34</v>
      </c>
      <c r="E266" t="s">
        <v>56</v>
      </c>
      <c r="F266" t="s">
        <v>44</v>
      </c>
      <c r="G266" t="s">
        <v>45</v>
      </c>
      <c r="H266">
        <v>17340</v>
      </c>
      <c r="I266">
        <v>14451.27</v>
      </c>
      <c r="J266">
        <v>0</v>
      </c>
      <c r="K266">
        <v>2888.73</v>
      </c>
      <c r="L266">
        <v>17340</v>
      </c>
      <c r="M266" t="s">
        <v>62</v>
      </c>
      <c r="N266">
        <v>64</v>
      </c>
    </row>
    <row r="267" spans="1:14" x14ac:dyDescent="0.35">
      <c r="A267">
        <v>100266</v>
      </c>
      <c r="B267">
        <v>70575</v>
      </c>
      <c r="C267" t="s">
        <v>272</v>
      </c>
      <c r="D267" t="s">
        <v>30</v>
      </c>
      <c r="E267" t="s">
        <v>43</v>
      </c>
      <c r="F267" t="s">
        <v>23</v>
      </c>
      <c r="G267" t="s">
        <v>45</v>
      </c>
      <c r="H267">
        <v>22014</v>
      </c>
      <c r="I267">
        <v>14333.63</v>
      </c>
      <c r="J267">
        <v>4223.63</v>
      </c>
      <c r="K267">
        <v>7680.37</v>
      </c>
      <c r="L267">
        <v>17790.37</v>
      </c>
      <c r="M267" t="s">
        <v>50</v>
      </c>
      <c r="N267">
        <v>133</v>
      </c>
    </row>
    <row r="268" spans="1:14" x14ac:dyDescent="0.35">
      <c r="A268">
        <v>100267</v>
      </c>
      <c r="B268">
        <v>40959</v>
      </c>
      <c r="C268" t="s">
        <v>273</v>
      </c>
      <c r="D268" t="s">
        <v>52</v>
      </c>
      <c r="E268" t="s">
        <v>37</v>
      </c>
      <c r="F268" t="s">
        <v>44</v>
      </c>
      <c r="G268" t="s">
        <v>24</v>
      </c>
      <c r="H268">
        <v>10495</v>
      </c>
      <c r="I268">
        <v>6170.05</v>
      </c>
      <c r="J268">
        <v>6170.05</v>
      </c>
      <c r="K268">
        <v>4324.95</v>
      </c>
      <c r="L268">
        <v>4324.95</v>
      </c>
      <c r="M268" t="s">
        <v>19</v>
      </c>
      <c r="N268">
        <v>0</v>
      </c>
    </row>
    <row r="269" spans="1:14" x14ac:dyDescent="0.35">
      <c r="A269">
        <v>100268</v>
      </c>
      <c r="B269">
        <v>91305</v>
      </c>
      <c r="C269" t="s">
        <v>274</v>
      </c>
      <c r="D269" t="s">
        <v>65</v>
      </c>
      <c r="E269" t="s">
        <v>41</v>
      </c>
      <c r="F269" t="s">
        <v>61</v>
      </c>
      <c r="G269" t="s">
        <v>24</v>
      </c>
      <c r="H269">
        <v>5899</v>
      </c>
      <c r="I269">
        <v>5028.41</v>
      </c>
      <c r="J269">
        <v>5028.41</v>
      </c>
      <c r="K269">
        <v>870.59</v>
      </c>
      <c r="L269">
        <v>870.59</v>
      </c>
      <c r="M269" t="s">
        <v>19</v>
      </c>
      <c r="N269">
        <v>131</v>
      </c>
    </row>
    <row r="270" spans="1:14" x14ac:dyDescent="0.35">
      <c r="A270">
        <v>100269</v>
      </c>
      <c r="B270">
        <v>95781</v>
      </c>
      <c r="C270" t="s">
        <v>275</v>
      </c>
      <c r="D270" t="s">
        <v>34</v>
      </c>
      <c r="E270" t="s">
        <v>26</v>
      </c>
      <c r="F270" t="s">
        <v>35</v>
      </c>
      <c r="G270" t="s">
        <v>47</v>
      </c>
      <c r="H270">
        <v>18653</v>
      </c>
      <c r="I270">
        <v>16982.71</v>
      </c>
      <c r="J270">
        <v>8516.74</v>
      </c>
      <c r="K270">
        <v>1670.29</v>
      </c>
      <c r="L270">
        <v>10136.26</v>
      </c>
      <c r="M270" t="s">
        <v>39</v>
      </c>
      <c r="N270">
        <v>111</v>
      </c>
    </row>
    <row r="271" spans="1:14" x14ac:dyDescent="0.35">
      <c r="A271">
        <v>100270</v>
      </c>
      <c r="B271">
        <v>99025</v>
      </c>
      <c r="C271" t="s">
        <v>227</v>
      </c>
      <c r="D271" t="s">
        <v>21</v>
      </c>
      <c r="E271" t="s">
        <v>56</v>
      </c>
      <c r="F271" t="s">
        <v>27</v>
      </c>
      <c r="G271" t="s">
        <v>47</v>
      </c>
      <c r="H271">
        <v>8405</v>
      </c>
      <c r="I271">
        <v>7338.93</v>
      </c>
      <c r="J271">
        <v>7338.93</v>
      </c>
      <c r="K271">
        <v>1066.07</v>
      </c>
      <c r="L271">
        <v>1066.07</v>
      </c>
      <c r="M271" t="s">
        <v>19</v>
      </c>
      <c r="N271">
        <v>145</v>
      </c>
    </row>
    <row r="272" spans="1:14" x14ac:dyDescent="0.35">
      <c r="A272">
        <v>100271</v>
      </c>
      <c r="B272">
        <v>18445</v>
      </c>
      <c r="C272" t="s">
        <v>276</v>
      </c>
      <c r="D272" t="s">
        <v>34</v>
      </c>
      <c r="E272" t="s">
        <v>22</v>
      </c>
      <c r="F272" t="s">
        <v>27</v>
      </c>
      <c r="G272" t="s">
        <v>28</v>
      </c>
      <c r="H272">
        <v>8479</v>
      </c>
      <c r="I272">
        <v>4909.28</v>
      </c>
      <c r="J272">
        <v>0</v>
      </c>
      <c r="K272">
        <v>3569.72</v>
      </c>
      <c r="L272">
        <v>8479</v>
      </c>
      <c r="M272" t="s">
        <v>62</v>
      </c>
      <c r="N272">
        <v>38</v>
      </c>
    </row>
    <row r="273" spans="1:14" x14ac:dyDescent="0.35">
      <c r="A273">
        <v>100272</v>
      </c>
      <c r="B273">
        <v>80498</v>
      </c>
      <c r="C273" t="s">
        <v>277</v>
      </c>
      <c r="D273" t="s">
        <v>34</v>
      </c>
      <c r="E273" t="s">
        <v>26</v>
      </c>
      <c r="F273" t="s">
        <v>44</v>
      </c>
      <c r="G273" t="s">
        <v>38</v>
      </c>
      <c r="H273">
        <v>4409</v>
      </c>
      <c r="I273">
        <v>3181.64</v>
      </c>
      <c r="J273">
        <v>0</v>
      </c>
      <c r="K273">
        <v>1227.3599999999999</v>
      </c>
      <c r="L273">
        <v>4409</v>
      </c>
      <c r="M273" t="s">
        <v>62</v>
      </c>
      <c r="N273">
        <v>76</v>
      </c>
    </row>
    <row r="274" spans="1:14" x14ac:dyDescent="0.35">
      <c r="A274">
        <v>100273</v>
      </c>
      <c r="B274">
        <v>33790</v>
      </c>
      <c r="C274" t="s">
        <v>278</v>
      </c>
      <c r="D274" t="s">
        <v>52</v>
      </c>
      <c r="E274" t="s">
        <v>56</v>
      </c>
      <c r="F274" t="s">
        <v>27</v>
      </c>
      <c r="G274" t="s">
        <v>45</v>
      </c>
      <c r="H274">
        <v>14788</v>
      </c>
      <c r="I274">
        <v>8715.36</v>
      </c>
      <c r="J274">
        <v>8715.36</v>
      </c>
      <c r="K274">
        <v>6072.64</v>
      </c>
      <c r="L274">
        <v>6072.64</v>
      </c>
      <c r="M274" t="s">
        <v>19</v>
      </c>
      <c r="N274">
        <v>22</v>
      </c>
    </row>
    <row r="275" spans="1:14" x14ac:dyDescent="0.35">
      <c r="A275">
        <v>100274</v>
      </c>
      <c r="B275">
        <v>53785</v>
      </c>
      <c r="C275" t="s">
        <v>270</v>
      </c>
      <c r="D275" t="s">
        <v>65</v>
      </c>
      <c r="E275" t="s">
        <v>26</v>
      </c>
      <c r="F275" t="s">
        <v>44</v>
      </c>
      <c r="G275" t="s">
        <v>38</v>
      </c>
      <c r="H275">
        <v>11042</v>
      </c>
      <c r="I275">
        <v>7527.9</v>
      </c>
      <c r="J275">
        <v>5348.45</v>
      </c>
      <c r="K275">
        <v>3514.1</v>
      </c>
      <c r="L275">
        <v>5693.55</v>
      </c>
      <c r="M275" t="s">
        <v>39</v>
      </c>
      <c r="N275">
        <v>177</v>
      </c>
    </row>
    <row r="276" spans="1:14" x14ac:dyDescent="0.35">
      <c r="A276">
        <v>100275</v>
      </c>
      <c r="B276">
        <v>84484</v>
      </c>
      <c r="C276" t="s">
        <v>279</v>
      </c>
      <c r="D276" t="s">
        <v>30</v>
      </c>
      <c r="E276" t="s">
        <v>16</v>
      </c>
      <c r="F276" t="s">
        <v>17</v>
      </c>
      <c r="G276" t="s">
        <v>72</v>
      </c>
      <c r="H276">
        <v>695</v>
      </c>
      <c r="I276">
        <v>621.69000000000005</v>
      </c>
      <c r="J276">
        <v>540.75</v>
      </c>
      <c r="K276">
        <v>73.31</v>
      </c>
      <c r="L276">
        <v>154.25</v>
      </c>
      <c r="M276" t="s">
        <v>39</v>
      </c>
      <c r="N276">
        <v>109</v>
      </c>
    </row>
    <row r="277" spans="1:14" x14ac:dyDescent="0.35">
      <c r="A277">
        <v>100276</v>
      </c>
      <c r="B277">
        <v>85773</v>
      </c>
      <c r="C277" t="s">
        <v>68</v>
      </c>
      <c r="D277" t="s">
        <v>21</v>
      </c>
      <c r="E277" t="s">
        <v>22</v>
      </c>
      <c r="F277" t="s">
        <v>27</v>
      </c>
      <c r="G277" t="s">
        <v>24</v>
      </c>
      <c r="H277">
        <v>18046</v>
      </c>
      <c r="I277">
        <v>14235.92</v>
      </c>
      <c r="J277">
        <v>14235.92</v>
      </c>
      <c r="K277">
        <v>3810.08</v>
      </c>
      <c r="L277">
        <v>3810.08</v>
      </c>
      <c r="M277" t="s">
        <v>19</v>
      </c>
      <c r="N277">
        <v>99</v>
      </c>
    </row>
    <row r="278" spans="1:14" x14ac:dyDescent="0.35">
      <c r="A278">
        <v>100277</v>
      </c>
      <c r="B278">
        <v>81416</v>
      </c>
      <c r="C278" t="s">
        <v>42</v>
      </c>
      <c r="D278" t="s">
        <v>49</v>
      </c>
      <c r="E278" t="s">
        <v>37</v>
      </c>
      <c r="F278" t="s">
        <v>44</v>
      </c>
      <c r="G278" t="s">
        <v>18</v>
      </c>
      <c r="H278">
        <v>16931</v>
      </c>
      <c r="I278">
        <v>10287.870000000001</v>
      </c>
      <c r="J278">
        <v>10287.870000000001</v>
      </c>
      <c r="K278">
        <v>6643.13</v>
      </c>
      <c r="L278">
        <v>6643.13</v>
      </c>
      <c r="M278" t="s">
        <v>19</v>
      </c>
      <c r="N278">
        <v>88</v>
      </c>
    </row>
    <row r="279" spans="1:14" x14ac:dyDescent="0.35">
      <c r="A279">
        <v>100278</v>
      </c>
      <c r="B279">
        <v>90420</v>
      </c>
      <c r="C279" t="s">
        <v>155</v>
      </c>
      <c r="D279" t="s">
        <v>34</v>
      </c>
      <c r="E279" t="s">
        <v>31</v>
      </c>
      <c r="F279" t="s">
        <v>27</v>
      </c>
      <c r="G279" t="s">
        <v>38</v>
      </c>
      <c r="H279">
        <v>4375</v>
      </c>
      <c r="I279">
        <v>3139.34</v>
      </c>
      <c r="J279">
        <v>3139.34</v>
      </c>
      <c r="K279">
        <v>1235.6600000000001</v>
      </c>
      <c r="L279">
        <v>1235.6600000000001</v>
      </c>
      <c r="M279" t="s">
        <v>19</v>
      </c>
      <c r="N279">
        <v>129</v>
      </c>
    </row>
    <row r="280" spans="1:14" x14ac:dyDescent="0.35">
      <c r="A280">
        <v>100279</v>
      </c>
      <c r="B280">
        <v>64353</v>
      </c>
      <c r="C280" t="s">
        <v>206</v>
      </c>
      <c r="D280" t="s">
        <v>65</v>
      </c>
      <c r="E280" t="s">
        <v>31</v>
      </c>
      <c r="F280" t="s">
        <v>35</v>
      </c>
      <c r="G280" t="s">
        <v>24</v>
      </c>
      <c r="H280">
        <v>12284</v>
      </c>
      <c r="I280">
        <v>8495.1</v>
      </c>
      <c r="J280">
        <v>6102</v>
      </c>
      <c r="K280">
        <v>3788.9</v>
      </c>
      <c r="L280">
        <v>6182</v>
      </c>
      <c r="M280" t="s">
        <v>39</v>
      </c>
      <c r="N280">
        <v>3</v>
      </c>
    </row>
    <row r="281" spans="1:14" x14ac:dyDescent="0.35">
      <c r="A281">
        <v>100280</v>
      </c>
      <c r="B281">
        <v>92763</v>
      </c>
      <c r="C281" t="s">
        <v>280</v>
      </c>
      <c r="D281" t="s">
        <v>15</v>
      </c>
      <c r="E281" t="s">
        <v>37</v>
      </c>
      <c r="F281" t="s">
        <v>44</v>
      </c>
      <c r="G281" t="s">
        <v>28</v>
      </c>
      <c r="H281">
        <v>20738</v>
      </c>
      <c r="I281">
        <v>15888.53</v>
      </c>
      <c r="J281">
        <v>0</v>
      </c>
      <c r="K281">
        <v>4849.47</v>
      </c>
      <c r="L281">
        <v>20738</v>
      </c>
      <c r="M281" t="s">
        <v>62</v>
      </c>
      <c r="N281">
        <v>4</v>
      </c>
    </row>
    <row r="282" spans="1:14" x14ac:dyDescent="0.35">
      <c r="A282">
        <v>100281</v>
      </c>
      <c r="B282">
        <v>83539</v>
      </c>
      <c r="C282" t="s">
        <v>281</v>
      </c>
      <c r="D282" t="s">
        <v>15</v>
      </c>
      <c r="E282" t="s">
        <v>26</v>
      </c>
      <c r="F282" t="s">
        <v>61</v>
      </c>
      <c r="G282" t="s">
        <v>18</v>
      </c>
      <c r="H282">
        <v>22263</v>
      </c>
      <c r="I282">
        <v>14462.17</v>
      </c>
      <c r="J282">
        <v>14462.17</v>
      </c>
      <c r="K282">
        <v>7800.83</v>
      </c>
      <c r="L282">
        <v>7800.83</v>
      </c>
      <c r="M282" t="s">
        <v>19</v>
      </c>
      <c r="N282">
        <v>120</v>
      </c>
    </row>
    <row r="283" spans="1:14" x14ac:dyDescent="0.35">
      <c r="A283">
        <v>100282</v>
      </c>
      <c r="B283">
        <v>46289</v>
      </c>
      <c r="C283" t="s">
        <v>282</v>
      </c>
      <c r="D283" t="s">
        <v>21</v>
      </c>
      <c r="E283" t="s">
        <v>41</v>
      </c>
      <c r="F283" t="s">
        <v>44</v>
      </c>
      <c r="G283" t="s">
        <v>28</v>
      </c>
      <c r="H283">
        <v>3528</v>
      </c>
      <c r="I283">
        <v>3239.95</v>
      </c>
      <c r="J283">
        <v>3239.95</v>
      </c>
      <c r="K283">
        <v>288.05</v>
      </c>
      <c r="L283">
        <v>288.05</v>
      </c>
      <c r="M283" t="s">
        <v>19</v>
      </c>
      <c r="N283">
        <v>157</v>
      </c>
    </row>
    <row r="284" spans="1:14" x14ac:dyDescent="0.35">
      <c r="A284">
        <v>100283</v>
      </c>
      <c r="B284">
        <v>76435</v>
      </c>
      <c r="C284" t="s">
        <v>283</v>
      </c>
      <c r="D284" t="s">
        <v>65</v>
      </c>
      <c r="E284" t="s">
        <v>41</v>
      </c>
      <c r="F284" t="s">
        <v>54</v>
      </c>
      <c r="G284" t="s">
        <v>28</v>
      </c>
      <c r="H284">
        <v>19301</v>
      </c>
      <c r="I284">
        <v>15957.11</v>
      </c>
      <c r="J284">
        <v>15957.11</v>
      </c>
      <c r="K284">
        <v>3343.89</v>
      </c>
      <c r="L284">
        <v>3343.89</v>
      </c>
      <c r="M284" t="s">
        <v>19</v>
      </c>
      <c r="N284">
        <v>31</v>
      </c>
    </row>
    <row r="285" spans="1:14" x14ac:dyDescent="0.35">
      <c r="A285">
        <v>100284</v>
      </c>
      <c r="B285">
        <v>51471</v>
      </c>
      <c r="C285" t="s">
        <v>269</v>
      </c>
      <c r="D285" t="s">
        <v>49</v>
      </c>
      <c r="E285" t="s">
        <v>56</v>
      </c>
      <c r="F285" t="s">
        <v>32</v>
      </c>
      <c r="G285" t="s">
        <v>28</v>
      </c>
      <c r="H285">
        <v>22398</v>
      </c>
      <c r="I285">
        <v>17671.060000000001</v>
      </c>
      <c r="J285">
        <v>17671.060000000001</v>
      </c>
      <c r="K285">
        <v>4726.9399999999996</v>
      </c>
      <c r="L285">
        <v>4726.9399999999996</v>
      </c>
      <c r="M285" t="s">
        <v>19</v>
      </c>
      <c r="N285">
        <v>13</v>
      </c>
    </row>
    <row r="286" spans="1:14" x14ac:dyDescent="0.35">
      <c r="A286">
        <v>100285</v>
      </c>
      <c r="B286">
        <v>26141</v>
      </c>
      <c r="C286" t="s">
        <v>36</v>
      </c>
      <c r="D286" t="s">
        <v>21</v>
      </c>
      <c r="E286" t="s">
        <v>37</v>
      </c>
      <c r="F286" t="s">
        <v>54</v>
      </c>
      <c r="G286" t="s">
        <v>18</v>
      </c>
      <c r="H286">
        <v>18938</v>
      </c>
      <c r="I286">
        <v>16743.759999999998</v>
      </c>
      <c r="J286">
        <v>16743.759999999998</v>
      </c>
      <c r="K286">
        <v>2194.2399999999998</v>
      </c>
      <c r="L286">
        <v>2194.2399999999998</v>
      </c>
      <c r="M286" t="s">
        <v>19</v>
      </c>
      <c r="N286">
        <v>165</v>
      </c>
    </row>
    <row r="287" spans="1:14" x14ac:dyDescent="0.35">
      <c r="A287">
        <v>100286</v>
      </c>
      <c r="B287">
        <v>37843</v>
      </c>
      <c r="C287" t="s">
        <v>284</v>
      </c>
      <c r="D287" t="s">
        <v>34</v>
      </c>
      <c r="E287" t="s">
        <v>26</v>
      </c>
      <c r="F287" t="s">
        <v>17</v>
      </c>
      <c r="G287" t="s">
        <v>72</v>
      </c>
      <c r="H287">
        <v>7174</v>
      </c>
      <c r="I287">
        <v>5329.05</v>
      </c>
      <c r="J287">
        <v>0</v>
      </c>
      <c r="K287">
        <v>1844.95</v>
      </c>
      <c r="L287">
        <v>7174</v>
      </c>
      <c r="M287" t="s">
        <v>62</v>
      </c>
      <c r="N287">
        <v>20</v>
      </c>
    </row>
    <row r="288" spans="1:14" x14ac:dyDescent="0.35">
      <c r="A288">
        <v>100287</v>
      </c>
      <c r="B288">
        <v>84424</v>
      </c>
      <c r="C288" t="s">
        <v>46</v>
      </c>
      <c r="D288" t="s">
        <v>21</v>
      </c>
      <c r="E288" t="s">
        <v>41</v>
      </c>
      <c r="F288" t="s">
        <v>23</v>
      </c>
      <c r="G288" t="s">
        <v>28</v>
      </c>
      <c r="H288">
        <v>23050</v>
      </c>
      <c r="I288">
        <v>17501.03</v>
      </c>
      <c r="J288">
        <v>0</v>
      </c>
      <c r="K288">
        <v>5548.97</v>
      </c>
      <c r="L288">
        <v>23050</v>
      </c>
      <c r="M288" t="s">
        <v>62</v>
      </c>
      <c r="N288">
        <v>129</v>
      </c>
    </row>
    <row r="289" spans="1:14" x14ac:dyDescent="0.35">
      <c r="A289">
        <v>100288</v>
      </c>
      <c r="B289">
        <v>28008</v>
      </c>
      <c r="C289" t="s">
        <v>285</v>
      </c>
      <c r="D289" t="s">
        <v>34</v>
      </c>
      <c r="E289" t="s">
        <v>41</v>
      </c>
      <c r="F289" t="s">
        <v>32</v>
      </c>
      <c r="G289" t="s">
        <v>24</v>
      </c>
      <c r="H289">
        <v>4123</v>
      </c>
      <c r="I289">
        <v>3581.11</v>
      </c>
      <c r="J289">
        <v>3581.11</v>
      </c>
      <c r="K289">
        <v>541.89</v>
      </c>
      <c r="L289">
        <v>541.89</v>
      </c>
      <c r="M289" t="s">
        <v>19</v>
      </c>
      <c r="N289">
        <v>29</v>
      </c>
    </row>
    <row r="290" spans="1:14" x14ac:dyDescent="0.35">
      <c r="A290">
        <v>100289</v>
      </c>
      <c r="B290">
        <v>90781</v>
      </c>
      <c r="C290" t="s">
        <v>286</v>
      </c>
      <c r="D290" t="s">
        <v>65</v>
      </c>
      <c r="E290" t="s">
        <v>16</v>
      </c>
      <c r="F290" t="s">
        <v>54</v>
      </c>
      <c r="G290" t="s">
        <v>47</v>
      </c>
      <c r="H290">
        <v>14987</v>
      </c>
      <c r="I290">
        <v>8986.27</v>
      </c>
      <c r="J290">
        <v>8986.27</v>
      </c>
      <c r="K290">
        <v>6000.73</v>
      </c>
      <c r="L290">
        <v>6000.73</v>
      </c>
      <c r="M290" t="s">
        <v>19</v>
      </c>
      <c r="N290">
        <v>76</v>
      </c>
    </row>
    <row r="291" spans="1:14" x14ac:dyDescent="0.35">
      <c r="A291">
        <v>100290</v>
      </c>
      <c r="B291">
        <v>85968</v>
      </c>
      <c r="C291" t="s">
        <v>286</v>
      </c>
      <c r="D291" t="s">
        <v>49</v>
      </c>
      <c r="E291" t="s">
        <v>43</v>
      </c>
      <c r="F291" t="s">
        <v>23</v>
      </c>
      <c r="G291" t="s">
        <v>28</v>
      </c>
      <c r="H291">
        <v>11643</v>
      </c>
      <c r="I291">
        <v>6566.62</v>
      </c>
      <c r="J291">
        <v>6566.62</v>
      </c>
      <c r="K291">
        <v>5076.38</v>
      </c>
      <c r="L291">
        <v>5076.38</v>
      </c>
      <c r="M291" t="s">
        <v>19</v>
      </c>
      <c r="N291">
        <v>40</v>
      </c>
    </row>
    <row r="292" spans="1:14" x14ac:dyDescent="0.35">
      <c r="A292">
        <v>100291</v>
      </c>
      <c r="B292">
        <v>21178</v>
      </c>
      <c r="C292" t="s">
        <v>287</v>
      </c>
      <c r="D292" t="s">
        <v>21</v>
      </c>
      <c r="E292" t="s">
        <v>37</v>
      </c>
      <c r="F292" t="s">
        <v>32</v>
      </c>
      <c r="G292" t="s">
        <v>38</v>
      </c>
      <c r="H292">
        <v>15680</v>
      </c>
      <c r="I292">
        <v>10882.75</v>
      </c>
      <c r="J292">
        <v>10882.75</v>
      </c>
      <c r="K292">
        <v>4797.25</v>
      </c>
      <c r="L292">
        <v>4797.25</v>
      </c>
      <c r="M292" t="s">
        <v>19</v>
      </c>
      <c r="N292">
        <v>121</v>
      </c>
    </row>
    <row r="293" spans="1:14" x14ac:dyDescent="0.35">
      <c r="A293">
        <v>100292</v>
      </c>
      <c r="B293">
        <v>11266</v>
      </c>
      <c r="C293" t="s">
        <v>288</v>
      </c>
      <c r="D293" t="s">
        <v>34</v>
      </c>
      <c r="E293" t="s">
        <v>43</v>
      </c>
      <c r="F293" t="s">
        <v>32</v>
      </c>
      <c r="G293" t="s">
        <v>18</v>
      </c>
      <c r="H293">
        <v>21373</v>
      </c>
      <c r="I293">
        <v>19861.48</v>
      </c>
      <c r="J293">
        <v>16371.22</v>
      </c>
      <c r="K293">
        <v>1511.52</v>
      </c>
      <c r="L293">
        <v>5001.78</v>
      </c>
      <c r="M293" t="s">
        <v>39</v>
      </c>
      <c r="N293">
        <v>25</v>
      </c>
    </row>
    <row r="294" spans="1:14" x14ac:dyDescent="0.35">
      <c r="A294">
        <v>100293</v>
      </c>
      <c r="B294">
        <v>51667</v>
      </c>
      <c r="C294" t="s">
        <v>289</v>
      </c>
      <c r="D294" t="s">
        <v>34</v>
      </c>
      <c r="E294" t="s">
        <v>56</v>
      </c>
      <c r="F294" t="s">
        <v>27</v>
      </c>
      <c r="G294" t="s">
        <v>18</v>
      </c>
      <c r="H294">
        <v>14965</v>
      </c>
      <c r="I294">
        <v>8355.9699999999993</v>
      </c>
      <c r="J294">
        <v>8355.9699999999993</v>
      </c>
      <c r="K294">
        <v>6609.03</v>
      </c>
      <c r="L294">
        <v>6609.03</v>
      </c>
      <c r="M294" t="s">
        <v>19</v>
      </c>
      <c r="N294">
        <v>76</v>
      </c>
    </row>
    <row r="295" spans="1:14" x14ac:dyDescent="0.35">
      <c r="A295">
        <v>100294</v>
      </c>
      <c r="B295">
        <v>30254</v>
      </c>
      <c r="C295" t="s">
        <v>290</v>
      </c>
      <c r="D295" t="s">
        <v>65</v>
      </c>
      <c r="E295" t="s">
        <v>37</v>
      </c>
      <c r="F295" t="s">
        <v>23</v>
      </c>
      <c r="G295" t="s">
        <v>24</v>
      </c>
      <c r="H295">
        <v>10944</v>
      </c>
      <c r="I295">
        <v>6667.7</v>
      </c>
      <c r="J295">
        <v>6667.7</v>
      </c>
      <c r="K295">
        <v>4276.3</v>
      </c>
      <c r="L295">
        <v>4276.3</v>
      </c>
      <c r="M295" t="s">
        <v>19</v>
      </c>
      <c r="N295">
        <v>92</v>
      </c>
    </row>
    <row r="296" spans="1:14" x14ac:dyDescent="0.35">
      <c r="A296">
        <v>100295</v>
      </c>
      <c r="B296">
        <v>80714</v>
      </c>
      <c r="C296" t="s">
        <v>291</v>
      </c>
      <c r="D296" t="s">
        <v>65</v>
      </c>
      <c r="E296" t="s">
        <v>56</v>
      </c>
      <c r="F296" t="s">
        <v>27</v>
      </c>
      <c r="G296" t="s">
        <v>72</v>
      </c>
      <c r="H296">
        <v>8082</v>
      </c>
      <c r="I296">
        <v>6418.71</v>
      </c>
      <c r="J296">
        <v>3617.72</v>
      </c>
      <c r="K296">
        <v>1663.29</v>
      </c>
      <c r="L296">
        <v>4464.28</v>
      </c>
      <c r="M296" t="s">
        <v>39</v>
      </c>
      <c r="N296">
        <v>168</v>
      </c>
    </row>
    <row r="297" spans="1:14" x14ac:dyDescent="0.35">
      <c r="A297">
        <v>100296</v>
      </c>
      <c r="B297">
        <v>60786</v>
      </c>
      <c r="C297" t="s">
        <v>292</v>
      </c>
      <c r="D297" t="s">
        <v>15</v>
      </c>
      <c r="E297" t="s">
        <v>26</v>
      </c>
      <c r="F297" t="s">
        <v>35</v>
      </c>
      <c r="G297" t="s">
        <v>38</v>
      </c>
      <c r="H297">
        <v>24773</v>
      </c>
      <c r="I297">
        <v>14290.14</v>
      </c>
      <c r="J297">
        <v>14290.14</v>
      </c>
      <c r="K297">
        <v>10482.86</v>
      </c>
      <c r="L297">
        <v>10482.86</v>
      </c>
      <c r="M297" t="s">
        <v>19</v>
      </c>
      <c r="N297">
        <v>39</v>
      </c>
    </row>
    <row r="298" spans="1:14" x14ac:dyDescent="0.35">
      <c r="A298">
        <v>100297</v>
      </c>
      <c r="B298">
        <v>85112</v>
      </c>
      <c r="C298" t="s">
        <v>293</v>
      </c>
      <c r="D298" t="s">
        <v>34</v>
      </c>
      <c r="E298" t="s">
        <v>41</v>
      </c>
      <c r="F298" t="s">
        <v>32</v>
      </c>
      <c r="G298" t="s">
        <v>18</v>
      </c>
      <c r="H298">
        <v>11737</v>
      </c>
      <c r="I298">
        <v>9323.5499999999993</v>
      </c>
      <c r="J298">
        <v>5729.11</v>
      </c>
      <c r="K298">
        <v>2413.4499999999998</v>
      </c>
      <c r="L298">
        <v>6007.89</v>
      </c>
      <c r="M298" t="s">
        <v>39</v>
      </c>
      <c r="N298">
        <v>59</v>
      </c>
    </row>
    <row r="299" spans="1:14" x14ac:dyDescent="0.35">
      <c r="A299">
        <v>100298</v>
      </c>
      <c r="B299">
        <v>35846</v>
      </c>
      <c r="C299" t="s">
        <v>294</v>
      </c>
      <c r="D299" t="s">
        <v>52</v>
      </c>
      <c r="E299" t="s">
        <v>37</v>
      </c>
      <c r="F299" t="s">
        <v>27</v>
      </c>
      <c r="G299" t="s">
        <v>47</v>
      </c>
      <c r="H299">
        <v>3443</v>
      </c>
      <c r="I299">
        <v>2454.54</v>
      </c>
      <c r="J299">
        <v>2454.54</v>
      </c>
      <c r="K299">
        <v>988.46</v>
      </c>
      <c r="L299">
        <v>988.46</v>
      </c>
      <c r="M299" t="s">
        <v>19</v>
      </c>
      <c r="N299">
        <v>18</v>
      </c>
    </row>
    <row r="300" spans="1:14" x14ac:dyDescent="0.35">
      <c r="A300">
        <v>100299</v>
      </c>
      <c r="B300">
        <v>65716</v>
      </c>
      <c r="C300" t="s">
        <v>81</v>
      </c>
      <c r="D300" t="s">
        <v>30</v>
      </c>
      <c r="E300" t="s">
        <v>26</v>
      </c>
      <c r="F300" t="s">
        <v>23</v>
      </c>
      <c r="G300" t="s">
        <v>18</v>
      </c>
      <c r="H300">
        <v>19648</v>
      </c>
      <c r="I300">
        <v>18309.240000000002</v>
      </c>
      <c r="J300">
        <v>18309.240000000002</v>
      </c>
      <c r="K300">
        <v>1338.76</v>
      </c>
      <c r="L300">
        <v>1338.76</v>
      </c>
      <c r="M300" t="s">
        <v>19</v>
      </c>
      <c r="N300">
        <v>178</v>
      </c>
    </row>
    <row r="301" spans="1:14" x14ac:dyDescent="0.35">
      <c r="A301">
        <v>100300</v>
      </c>
      <c r="B301">
        <v>91091</v>
      </c>
      <c r="C301" t="s">
        <v>295</v>
      </c>
      <c r="D301" t="s">
        <v>65</v>
      </c>
      <c r="E301" t="s">
        <v>26</v>
      </c>
      <c r="F301" t="s">
        <v>61</v>
      </c>
      <c r="G301" t="s">
        <v>28</v>
      </c>
      <c r="H301">
        <v>20036</v>
      </c>
      <c r="I301">
        <v>17672.39</v>
      </c>
      <c r="J301">
        <v>17672.39</v>
      </c>
      <c r="K301">
        <v>2363.61</v>
      </c>
      <c r="L301">
        <v>2363.61</v>
      </c>
      <c r="M301" t="s">
        <v>19</v>
      </c>
      <c r="N301">
        <v>19</v>
      </c>
    </row>
    <row r="302" spans="1:14" x14ac:dyDescent="0.35">
      <c r="A302">
        <v>100301</v>
      </c>
      <c r="B302">
        <v>37682</v>
      </c>
      <c r="C302" t="s">
        <v>296</v>
      </c>
      <c r="D302" t="s">
        <v>52</v>
      </c>
      <c r="E302" t="s">
        <v>26</v>
      </c>
      <c r="F302" t="s">
        <v>54</v>
      </c>
      <c r="G302" t="s">
        <v>18</v>
      </c>
      <c r="H302">
        <v>10426</v>
      </c>
      <c r="I302">
        <v>8212.65</v>
      </c>
      <c r="J302">
        <v>5200.1899999999996</v>
      </c>
      <c r="K302">
        <v>2213.35</v>
      </c>
      <c r="L302">
        <v>5225.8100000000004</v>
      </c>
      <c r="M302" t="s">
        <v>39</v>
      </c>
      <c r="N302">
        <v>74</v>
      </c>
    </row>
    <row r="303" spans="1:14" x14ac:dyDescent="0.35">
      <c r="A303">
        <v>100302</v>
      </c>
      <c r="B303">
        <v>19315</v>
      </c>
      <c r="C303" t="s">
        <v>141</v>
      </c>
      <c r="D303" t="s">
        <v>21</v>
      </c>
      <c r="E303" t="s">
        <v>37</v>
      </c>
      <c r="F303" t="s">
        <v>54</v>
      </c>
      <c r="G303" t="s">
        <v>24</v>
      </c>
      <c r="H303">
        <v>20533</v>
      </c>
      <c r="I303">
        <v>13737.28</v>
      </c>
      <c r="J303">
        <v>7668.15</v>
      </c>
      <c r="K303">
        <v>6795.72</v>
      </c>
      <c r="L303">
        <v>12864.85</v>
      </c>
      <c r="M303" t="s">
        <v>39</v>
      </c>
      <c r="N303">
        <v>168</v>
      </c>
    </row>
    <row r="304" spans="1:14" x14ac:dyDescent="0.35">
      <c r="A304">
        <v>100303</v>
      </c>
      <c r="B304">
        <v>84879</v>
      </c>
      <c r="C304" t="s">
        <v>174</v>
      </c>
      <c r="D304" t="s">
        <v>52</v>
      </c>
      <c r="E304" t="s">
        <v>26</v>
      </c>
      <c r="F304" t="s">
        <v>23</v>
      </c>
      <c r="G304" t="s">
        <v>38</v>
      </c>
      <c r="H304">
        <v>5720</v>
      </c>
      <c r="I304">
        <v>4043.69</v>
      </c>
      <c r="J304">
        <v>4043.69</v>
      </c>
      <c r="K304">
        <v>1676.31</v>
      </c>
      <c r="L304">
        <v>1676.31</v>
      </c>
      <c r="M304" t="s">
        <v>19</v>
      </c>
      <c r="N304">
        <v>175</v>
      </c>
    </row>
    <row r="305" spans="1:14" x14ac:dyDescent="0.35">
      <c r="A305">
        <v>100304</v>
      </c>
      <c r="B305">
        <v>17353</v>
      </c>
      <c r="C305" t="s">
        <v>297</v>
      </c>
      <c r="D305" t="s">
        <v>34</v>
      </c>
      <c r="E305" t="s">
        <v>31</v>
      </c>
      <c r="F305" t="s">
        <v>35</v>
      </c>
      <c r="G305" t="s">
        <v>18</v>
      </c>
      <c r="H305">
        <v>4044</v>
      </c>
      <c r="I305">
        <v>3342.43</v>
      </c>
      <c r="J305">
        <v>2158.48</v>
      </c>
      <c r="K305">
        <v>701.57</v>
      </c>
      <c r="L305">
        <v>1885.52</v>
      </c>
      <c r="M305" t="s">
        <v>39</v>
      </c>
      <c r="N305">
        <v>155</v>
      </c>
    </row>
    <row r="306" spans="1:14" x14ac:dyDescent="0.35">
      <c r="A306">
        <v>100305</v>
      </c>
      <c r="B306">
        <v>44896</v>
      </c>
      <c r="C306" t="s">
        <v>298</v>
      </c>
      <c r="D306" t="s">
        <v>21</v>
      </c>
      <c r="E306" t="s">
        <v>43</v>
      </c>
      <c r="F306" t="s">
        <v>17</v>
      </c>
      <c r="G306" t="s">
        <v>28</v>
      </c>
      <c r="H306">
        <v>24779</v>
      </c>
      <c r="I306">
        <v>16108.65</v>
      </c>
      <c r="J306">
        <v>11292.19</v>
      </c>
      <c r="K306">
        <v>8670.35</v>
      </c>
      <c r="L306">
        <v>13486.81</v>
      </c>
      <c r="M306" t="s">
        <v>39</v>
      </c>
      <c r="N306">
        <v>48</v>
      </c>
    </row>
    <row r="307" spans="1:14" x14ac:dyDescent="0.35">
      <c r="A307">
        <v>100306</v>
      </c>
      <c r="B307">
        <v>59100</v>
      </c>
      <c r="C307" t="s">
        <v>299</v>
      </c>
      <c r="D307" t="s">
        <v>52</v>
      </c>
      <c r="E307" t="s">
        <v>43</v>
      </c>
      <c r="F307" t="s">
        <v>23</v>
      </c>
      <c r="G307" t="s">
        <v>45</v>
      </c>
      <c r="H307">
        <v>21599</v>
      </c>
      <c r="I307">
        <v>12623.69</v>
      </c>
      <c r="J307">
        <v>223.41</v>
      </c>
      <c r="K307">
        <v>8975.31</v>
      </c>
      <c r="L307">
        <v>21375.59</v>
      </c>
      <c r="M307" t="s">
        <v>50</v>
      </c>
      <c r="N307">
        <v>159</v>
      </c>
    </row>
    <row r="308" spans="1:14" x14ac:dyDescent="0.35">
      <c r="A308">
        <v>100307</v>
      </c>
      <c r="B308">
        <v>17998</v>
      </c>
      <c r="C308" t="s">
        <v>281</v>
      </c>
      <c r="D308" t="s">
        <v>65</v>
      </c>
      <c r="E308" t="s">
        <v>22</v>
      </c>
      <c r="F308" t="s">
        <v>44</v>
      </c>
      <c r="G308" t="s">
        <v>28</v>
      </c>
      <c r="H308">
        <v>9588</v>
      </c>
      <c r="I308">
        <v>7629.33</v>
      </c>
      <c r="J308">
        <v>0</v>
      </c>
      <c r="K308">
        <v>1958.67</v>
      </c>
      <c r="L308">
        <v>9588</v>
      </c>
      <c r="M308" t="s">
        <v>62</v>
      </c>
      <c r="N308">
        <v>157</v>
      </c>
    </row>
    <row r="309" spans="1:14" x14ac:dyDescent="0.35">
      <c r="A309">
        <v>100308</v>
      </c>
      <c r="B309">
        <v>22177</v>
      </c>
      <c r="C309" t="s">
        <v>300</v>
      </c>
      <c r="D309" t="s">
        <v>34</v>
      </c>
      <c r="E309" t="s">
        <v>26</v>
      </c>
      <c r="F309" t="s">
        <v>32</v>
      </c>
      <c r="G309" t="s">
        <v>72</v>
      </c>
      <c r="H309">
        <v>15522</v>
      </c>
      <c r="I309">
        <v>14664</v>
      </c>
      <c r="J309">
        <v>10478.32</v>
      </c>
      <c r="K309">
        <v>858</v>
      </c>
      <c r="L309">
        <v>5043.68</v>
      </c>
      <c r="M309" t="s">
        <v>39</v>
      </c>
      <c r="N309">
        <v>167</v>
      </c>
    </row>
    <row r="310" spans="1:14" x14ac:dyDescent="0.35">
      <c r="A310">
        <v>100309</v>
      </c>
      <c r="B310">
        <v>10242</v>
      </c>
      <c r="C310" t="s">
        <v>73</v>
      </c>
      <c r="D310" t="s">
        <v>52</v>
      </c>
      <c r="E310" t="s">
        <v>16</v>
      </c>
      <c r="F310" t="s">
        <v>27</v>
      </c>
      <c r="G310" t="s">
        <v>38</v>
      </c>
      <c r="H310">
        <v>17592</v>
      </c>
      <c r="I310">
        <v>10723.26</v>
      </c>
      <c r="J310">
        <v>10723.26</v>
      </c>
      <c r="K310">
        <v>6868.74</v>
      </c>
      <c r="L310">
        <v>6868.74</v>
      </c>
      <c r="M310" t="s">
        <v>19</v>
      </c>
      <c r="N310">
        <v>18</v>
      </c>
    </row>
    <row r="311" spans="1:14" x14ac:dyDescent="0.35">
      <c r="A311">
        <v>100310</v>
      </c>
      <c r="B311">
        <v>28762</v>
      </c>
      <c r="C311" t="s">
        <v>301</v>
      </c>
      <c r="D311" t="s">
        <v>15</v>
      </c>
      <c r="E311" t="s">
        <v>16</v>
      </c>
      <c r="F311" t="s">
        <v>32</v>
      </c>
      <c r="G311" t="s">
        <v>38</v>
      </c>
      <c r="H311">
        <v>8538</v>
      </c>
      <c r="I311">
        <v>7391.76</v>
      </c>
      <c r="J311">
        <v>7391.76</v>
      </c>
      <c r="K311">
        <v>1146.24</v>
      </c>
      <c r="L311">
        <v>1146.24</v>
      </c>
      <c r="M311" t="s">
        <v>19</v>
      </c>
      <c r="N311">
        <v>116</v>
      </c>
    </row>
    <row r="312" spans="1:14" x14ac:dyDescent="0.35">
      <c r="A312">
        <v>100311</v>
      </c>
      <c r="B312">
        <v>28468</v>
      </c>
      <c r="C312" t="s">
        <v>302</v>
      </c>
      <c r="D312" t="s">
        <v>30</v>
      </c>
      <c r="E312" t="s">
        <v>37</v>
      </c>
      <c r="F312" t="s">
        <v>27</v>
      </c>
      <c r="G312" t="s">
        <v>47</v>
      </c>
      <c r="H312">
        <v>6943</v>
      </c>
      <c r="I312">
        <v>6275.04</v>
      </c>
      <c r="J312">
        <v>0</v>
      </c>
      <c r="K312">
        <v>667.96</v>
      </c>
      <c r="L312">
        <v>6943</v>
      </c>
      <c r="M312" t="s">
        <v>62</v>
      </c>
      <c r="N312">
        <v>162</v>
      </c>
    </row>
    <row r="313" spans="1:14" x14ac:dyDescent="0.35">
      <c r="A313">
        <v>100312</v>
      </c>
      <c r="B313">
        <v>99194</v>
      </c>
      <c r="C313" t="s">
        <v>303</v>
      </c>
      <c r="D313" t="s">
        <v>52</v>
      </c>
      <c r="E313" t="s">
        <v>26</v>
      </c>
      <c r="F313" t="s">
        <v>27</v>
      </c>
      <c r="G313" t="s">
        <v>45</v>
      </c>
      <c r="H313">
        <v>6186</v>
      </c>
      <c r="I313">
        <v>4094.99</v>
      </c>
      <c r="J313">
        <v>4094.99</v>
      </c>
      <c r="K313">
        <v>2091.0100000000002</v>
      </c>
      <c r="L313">
        <v>2091.0100000000002</v>
      </c>
      <c r="M313" t="s">
        <v>19</v>
      </c>
      <c r="N313">
        <v>61</v>
      </c>
    </row>
    <row r="314" spans="1:14" x14ac:dyDescent="0.35">
      <c r="A314">
        <v>100313</v>
      </c>
      <c r="B314">
        <v>23955</v>
      </c>
      <c r="C314" t="s">
        <v>304</v>
      </c>
      <c r="D314" t="s">
        <v>34</v>
      </c>
      <c r="E314" t="s">
        <v>26</v>
      </c>
      <c r="F314" t="s">
        <v>61</v>
      </c>
      <c r="G314" t="s">
        <v>18</v>
      </c>
      <c r="H314">
        <v>24140</v>
      </c>
      <c r="I314">
        <v>21673.19</v>
      </c>
      <c r="J314">
        <v>21673.19</v>
      </c>
      <c r="K314">
        <v>2466.81</v>
      </c>
      <c r="L314">
        <v>2466.81</v>
      </c>
      <c r="M314" t="s">
        <v>19</v>
      </c>
      <c r="N314">
        <v>72</v>
      </c>
    </row>
    <row r="315" spans="1:14" x14ac:dyDescent="0.35">
      <c r="A315">
        <v>100314</v>
      </c>
      <c r="B315">
        <v>33970</v>
      </c>
      <c r="C315" t="s">
        <v>305</v>
      </c>
      <c r="D315" t="s">
        <v>30</v>
      </c>
      <c r="E315" t="s">
        <v>22</v>
      </c>
      <c r="F315" t="s">
        <v>35</v>
      </c>
      <c r="G315" t="s">
        <v>24</v>
      </c>
      <c r="H315">
        <v>3262</v>
      </c>
      <c r="I315">
        <v>2500.44</v>
      </c>
      <c r="J315">
        <v>2500.44</v>
      </c>
      <c r="K315">
        <v>761.56</v>
      </c>
      <c r="L315">
        <v>761.56</v>
      </c>
      <c r="M315" t="s">
        <v>19</v>
      </c>
      <c r="N315">
        <v>66</v>
      </c>
    </row>
    <row r="316" spans="1:14" x14ac:dyDescent="0.35">
      <c r="A316">
        <v>100315</v>
      </c>
      <c r="B316">
        <v>46716</v>
      </c>
      <c r="C316" t="s">
        <v>306</v>
      </c>
      <c r="D316" t="s">
        <v>52</v>
      </c>
      <c r="E316" t="s">
        <v>26</v>
      </c>
      <c r="F316" t="s">
        <v>44</v>
      </c>
      <c r="G316" t="s">
        <v>47</v>
      </c>
      <c r="H316">
        <v>21312</v>
      </c>
      <c r="I316">
        <v>12546.93</v>
      </c>
      <c r="J316">
        <v>12546.93</v>
      </c>
      <c r="K316">
        <v>8765.07</v>
      </c>
      <c r="L316">
        <v>8765.07</v>
      </c>
      <c r="M316" t="s">
        <v>19</v>
      </c>
      <c r="N316">
        <v>125</v>
      </c>
    </row>
    <row r="317" spans="1:14" x14ac:dyDescent="0.35">
      <c r="A317">
        <v>100316</v>
      </c>
      <c r="B317">
        <v>71659</v>
      </c>
      <c r="C317" t="s">
        <v>307</v>
      </c>
      <c r="D317" t="s">
        <v>49</v>
      </c>
      <c r="E317" t="s">
        <v>16</v>
      </c>
      <c r="F317" t="s">
        <v>61</v>
      </c>
      <c r="G317" t="s">
        <v>72</v>
      </c>
      <c r="H317">
        <v>8265</v>
      </c>
      <c r="I317">
        <v>6567</v>
      </c>
      <c r="J317">
        <v>0</v>
      </c>
      <c r="K317">
        <v>1698</v>
      </c>
      <c r="L317">
        <v>8265</v>
      </c>
      <c r="M317" t="s">
        <v>62</v>
      </c>
      <c r="N317">
        <v>150</v>
      </c>
    </row>
    <row r="318" spans="1:14" x14ac:dyDescent="0.35">
      <c r="A318">
        <v>100317</v>
      </c>
      <c r="B318">
        <v>90744</v>
      </c>
      <c r="C318" t="s">
        <v>308</v>
      </c>
      <c r="D318" t="s">
        <v>52</v>
      </c>
      <c r="E318" t="s">
        <v>43</v>
      </c>
      <c r="F318" t="s">
        <v>54</v>
      </c>
      <c r="G318" t="s">
        <v>28</v>
      </c>
      <c r="H318">
        <v>5926</v>
      </c>
      <c r="I318">
        <v>4301.22</v>
      </c>
      <c r="J318">
        <v>4301.22</v>
      </c>
      <c r="K318">
        <v>1624.78</v>
      </c>
      <c r="L318">
        <v>1624.78</v>
      </c>
      <c r="M318" t="s">
        <v>19</v>
      </c>
      <c r="N318">
        <v>67</v>
      </c>
    </row>
    <row r="319" spans="1:14" x14ac:dyDescent="0.35">
      <c r="A319">
        <v>100318</v>
      </c>
      <c r="B319">
        <v>50310</v>
      </c>
      <c r="C319" t="s">
        <v>192</v>
      </c>
      <c r="D319" t="s">
        <v>30</v>
      </c>
      <c r="E319" t="s">
        <v>37</v>
      </c>
      <c r="F319" t="s">
        <v>35</v>
      </c>
      <c r="G319" t="s">
        <v>38</v>
      </c>
      <c r="H319">
        <v>13403</v>
      </c>
      <c r="I319">
        <v>12293.57</v>
      </c>
      <c r="J319">
        <v>2495.48</v>
      </c>
      <c r="K319">
        <v>1109.43</v>
      </c>
      <c r="L319">
        <v>10907.52</v>
      </c>
      <c r="M319" t="s">
        <v>50</v>
      </c>
      <c r="N319">
        <v>115</v>
      </c>
    </row>
    <row r="320" spans="1:14" x14ac:dyDescent="0.35">
      <c r="A320">
        <v>100319</v>
      </c>
      <c r="B320">
        <v>42954</v>
      </c>
      <c r="C320" t="s">
        <v>309</v>
      </c>
      <c r="D320" t="s">
        <v>65</v>
      </c>
      <c r="E320" t="s">
        <v>37</v>
      </c>
      <c r="F320" t="s">
        <v>23</v>
      </c>
      <c r="G320" t="s">
        <v>47</v>
      </c>
      <c r="H320">
        <v>17307</v>
      </c>
      <c r="I320">
        <v>10678.09</v>
      </c>
      <c r="J320">
        <v>10678.09</v>
      </c>
      <c r="K320">
        <v>6628.91</v>
      </c>
      <c r="L320">
        <v>6628.91</v>
      </c>
      <c r="M320" t="s">
        <v>19</v>
      </c>
      <c r="N320">
        <v>3</v>
      </c>
    </row>
    <row r="321" spans="1:14" x14ac:dyDescent="0.35">
      <c r="A321">
        <v>100320</v>
      </c>
      <c r="B321">
        <v>50478</v>
      </c>
      <c r="C321" t="s">
        <v>310</v>
      </c>
      <c r="D321" t="s">
        <v>21</v>
      </c>
      <c r="E321" t="s">
        <v>22</v>
      </c>
      <c r="F321" t="s">
        <v>32</v>
      </c>
      <c r="G321" t="s">
        <v>38</v>
      </c>
      <c r="H321">
        <v>15171</v>
      </c>
      <c r="I321">
        <v>10881.46</v>
      </c>
      <c r="J321">
        <v>7794.61</v>
      </c>
      <c r="K321">
        <v>4289.54</v>
      </c>
      <c r="L321">
        <v>7376.39</v>
      </c>
      <c r="M321" t="s">
        <v>39</v>
      </c>
      <c r="N321">
        <v>10</v>
      </c>
    </row>
    <row r="322" spans="1:14" x14ac:dyDescent="0.35">
      <c r="A322">
        <v>100321</v>
      </c>
      <c r="B322">
        <v>12109</v>
      </c>
      <c r="C322" t="s">
        <v>311</v>
      </c>
      <c r="D322" t="s">
        <v>65</v>
      </c>
      <c r="E322" t="s">
        <v>22</v>
      </c>
      <c r="F322" t="s">
        <v>27</v>
      </c>
      <c r="G322" t="s">
        <v>18</v>
      </c>
      <c r="H322">
        <v>650</v>
      </c>
      <c r="I322">
        <v>491.79</v>
      </c>
      <c r="J322">
        <v>491.79</v>
      </c>
      <c r="K322">
        <v>158.21</v>
      </c>
      <c r="L322">
        <v>158.21</v>
      </c>
      <c r="M322" t="s">
        <v>19</v>
      </c>
      <c r="N322">
        <v>121</v>
      </c>
    </row>
    <row r="323" spans="1:14" x14ac:dyDescent="0.35">
      <c r="A323">
        <v>100322</v>
      </c>
      <c r="B323">
        <v>65196</v>
      </c>
      <c r="C323" t="s">
        <v>312</v>
      </c>
      <c r="D323" t="s">
        <v>49</v>
      </c>
      <c r="E323" t="s">
        <v>56</v>
      </c>
      <c r="F323" t="s">
        <v>35</v>
      </c>
      <c r="G323" t="s">
        <v>28</v>
      </c>
      <c r="H323">
        <v>16299</v>
      </c>
      <c r="I323">
        <v>10451.219999999999</v>
      </c>
      <c r="J323">
        <v>10451.219999999999</v>
      </c>
      <c r="K323">
        <v>5847.78</v>
      </c>
      <c r="L323">
        <v>5847.78</v>
      </c>
      <c r="M323" t="s">
        <v>19</v>
      </c>
      <c r="N323">
        <v>141</v>
      </c>
    </row>
    <row r="324" spans="1:14" x14ac:dyDescent="0.35">
      <c r="A324">
        <v>100323</v>
      </c>
      <c r="B324">
        <v>81892</v>
      </c>
      <c r="C324" t="s">
        <v>197</v>
      </c>
      <c r="D324" t="s">
        <v>30</v>
      </c>
      <c r="E324" t="s">
        <v>43</v>
      </c>
      <c r="F324" t="s">
        <v>23</v>
      </c>
      <c r="G324" t="s">
        <v>18</v>
      </c>
      <c r="H324">
        <v>1414</v>
      </c>
      <c r="I324">
        <v>805.57</v>
      </c>
      <c r="J324">
        <v>439.92</v>
      </c>
      <c r="K324">
        <v>608.42999999999995</v>
      </c>
      <c r="L324">
        <v>974.08</v>
      </c>
      <c r="M324" t="s">
        <v>39</v>
      </c>
      <c r="N324">
        <v>130</v>
      </c>
    </row>
    <row r="325" spans="1:14" x14ac:dyDescent="0.35">
      <c r="A325">
        <v>100324</v>
      </c>
      <c r="B325">
        <v>80928</v>
      </c>
      <c r="C325" t="s">
        <v>178</v>
      </c>
      <c r="D325" t="s">
        <v>49</v>
      </c>
      <c r="E325" t="s">
        <v>56</v>
      </c>
      <c r="F325" t="s">
        <v>61</v>
      </c>
      <c r="G325" t="s">
        <v>45</v>
      </c>
      <c r="H325">
        <v>374</v>
      </c>
      <c r="I325">
        <v>348.69</v>
      </c>
      <c r="J325">
        <v>239.81</v>
      </c>
      <c r="K325">
        <v>25.31</v>
      </c>
      <c r="L325">
        <v>134.19</v>
      </c>
      <c r="M325" t="s">
        <v>39</v>
      </c>
      <c r="N325">
        <v>150</v>
      </c>
    </row>
    <row r="326" spans="1:14" x14ac:dyDescent="0.35">
      <c r="A326">
        <v>100325</v>
      </c>
      <c r="B326">
        <v>60576</v>
      </c>
      <c r="C326" t="s">
        <v>104</v>
      </c>
      <c r="D326" t="s">
        <v>52</v>
      </c>
      <c r="E326" t="s">
        <v>41</v>
      </c>
      <c r="F326" t="s">
        <v>61</v>
      </c>
      <c r="G326" t="s">
        <v>45</v>
      </c>
      <c r="H326">
        <v>18298</v>
      </c>
      <c r="I326">
        <v>11467.13</v>
      </c>
      <c r="J326">
        <v>11467.13</v>
      </c>
      <c r="K326">
        <v>6830.87</v>
      </c>
      <c r="L326">
        <v>6830.87</v>
      </c>
      <c r="M326" t="s">
        <v>19</v>
      </c>
      <c r="N326">
        <v>62</v>
      </c>
    </row>
    <row r="327" spans="1:14" x14ac:dyDescent="0.35">
      <c r="A327">
        <v>100326</v>
      </c>
      <c r="B327">
        <v>43625</v>
      </c>
      <c r="C327" t="s">
        <v>313</v>
      </c>
      <c r="D327" t="s">
        <v>21</v>
      </c>
      <c r="E327" t="s">
        <v>43</v>
      </c>
      <c r="F327" t="s">
        <v>17</v>
      </c>
      <c r="G327" t="s">
        <v>72</v>
      </c>
      <c r="H327">
        <v>21712</v>
      </c>
      <c r="I327">
        <v>12576.12</v>
      </c>
      <c r="J327">
        <v>7638.43</v>
      </c>
      <c r="K327">
        <v>9135.8799999999992</v>
      </c>
      <c r="L327">
        <v>14073.57</v>
      </c>
      <c r="M327" t="s">
        <v>39</v>
      </c>
      <c r="N327">
        <v>104</v>
      </c>
    </row>
    <row r="328" spans="1:14" x14ac:dyDescent="0.35">
      <c r="A328">
        <v>100327</v>
      </c>
      <c r="B328">
        <v>65898</v>
      </c>
      <c r="C328" t="s">
        <v>265</v>
      </c>
      <c r="D328" t="s">
        <v>49</v>
      </c>
      <c r="E328" t="s">
        <v>16</v>
      </c>
      <c r="F328" t="s">
        <v>23</v>
      </c>
      <c r="G328" t="s">
        <v>18</v>
      </c>
      <c r="H328">
        <v>15171</v>
      </c>
      <c r="I328">
        <v>8895.41</v>
      </c>
      <c r="J328">
        <v>1631.87</v>
      </c>
      <c r="K328">
        <v>6275.59</v>
      </c>
      <c r="L328">
        <v>13539.13</v>
      </c>
      <c r="M328" t="s">
        <v>50</v>
      </c>
      <c r="N328">
        <v>168</v>
      </c>
    </row>
    <row r="329" spans="1:14" x14ac:dyDescent="0.35">
      <c r="A329">
        <v>100328</v>
      </c>
      <c r="B329">
        <v>85293</v>
      </c>
      <c r="C329" t="s">
        <v>314</v>
      </c>
      <c r="D329" t="s">
        <v>21</v>
      </c>
      <c r="E329" t="s">
        <v>43</v>
      </c>
      <c r="F329" t="s">
        <v>17</v>
      </c>
      <c r="G329" t="s">
        <v>45</v>
      </c>
      <c r="H329">
        <v>1404</v>
      </c>
      <c r="I329">
        <v>839.11</v>
      </c>
      <c r="J329">
        <v>839.11</v>
      </c>
      <c r="K329">
        <v>564.89</v>
      </c>
      <c r="L329">
        <v>564.89</v>
      </c>
      <c r="M329" t="s">
        <v>19</v>
      </c>
      <c r="N329">
        <v>125</v>
      </c>
    </row>
    <row r="330" spans="1:14" x14ac:dyDescent="0.35">
      <c r="A330">
        <v>100329</v>
      </c>
      <c r="B330">
        <v>10067</v>
      </c>
      <c r="C330" t="s">
        <v>315</v>
      </c>
      <c r="D330" t="s">
        <v>21</v>
      </c>
      <c r="E330" t="s">
        <v>37</v>
      </c>
      <c r="F330" t="s">
        <v>23</v>
      </c>
      <c r="G330" t="s">
        <v>38</v>
      </c>
      <c r="H330">
        <v>19831</v>
      </c>
      <c r="I330">
        <v>13361.59</v>
      </c>
      <c r="J330">
        <v>13361.59</v>
      </c>
      <c r="K330">
        <v>6469.41</v>
      </c>
      <c r="L330">
        <v>6469.41</v>
      </c>
      <c r="M330" t="s">
        <v>19</v>
      </c>
      <c r="N330">
        <v>18</v>
      </c>
    </row>
    <row r="331" spans="1:14" x14ac:dyDescent="0.35">
      <c r="A331">
        <v>100330</v>
      </c>
      <c r="B331">
        <v>55796</v>
      </c>
      <c r="C331" t="s">
        <v>316</v>
      </c>
      <c r="D331" t="s">
        <v>49</v>
      </c>
      <c r="E331" t="s">
        <v>56</v>
      </c>
      <c r="F331" t="s">
        <v>17</v>
      </c>
      <c r="G331" t="s">
        <v>18</v>
      </c>
      <c r="H331">
        <v>4636</v>
      </c>
      <c r="I331">
        <v>3891.88</v>
      </c>
      <c r="J331">
        <v>3891.88</v>
      </c>
      <c r="K331">
        <v>744.12</v>
      </c>
      <c r="L331">
        <v>744.12</v>
      </c>
      <c r="M331" t="s">
        <v>19</v>
      </c>
      <c r="N331">
        <v>93</v>
      </c>
    </row>
    <row r="332" spans="1:14" x14ac:dyDescent="0.35">
      <c r="A332">
        <v>100331</v>
      </c>
      <c r="B332">
        <v>99232</v>
      </c>
      <c r="C332" t="s">
        <v>317</v>
      </c>
      <c r="D332" t="s">
        <v>15</v>
      </c>
      <c r="E332" t="s">
        <v>26</v>
      </c>
      <c r="F332" t="s">
        <v>35</v>
      </c>
      <c r="G332" t="s">
        <v>38</v>
      </c>
      <c r="H332">
        <v>24374</v>
      </c>
      <c r="I332">
        <v>18337.240000000002</v>
      </c>
      <c r="J332">
        <v>8853.32</v>
      </c>
      <c r="K332">
        <v>6036.76</v>
      </c>
      <c r="L332">
        <v>15520.68</v>
      </c>
      <c r="M332" t="s">
        <v>39</v>
      </c>
      <c r="N332">
        <v>105</v>
      </c>
    </row>
    <row r="333" spans="1:14" x14ac:dyDescent="0.35">
      <c r="A333">
        <v>100332</v>
      </c>
      <c r="B333">
        <v>18368</v>
      </c>
      <c r="C333" t="s">
        <v>114</v>
      </c>
      <c r="D333" t="s">
        <v>65</v>
      </c>
      <c r="E333" t="s">
        <v>43</v>
      </c>
      <c r="F333" t="s">
        <v>35</v>
      </c>
      <c r="G333" t="s">
        <v>45</v>
      </c>
      <c r="H333">
        <v>21107</v>
      </c>
      <c r="I333">
        <v>11911.1</v>
      </c>
      <c r="J333">
        <v>11911.1</v>
      </c>
      <c r="K333">
        <v>9195.9</v>
      </c>
      <c r="L333">
        <v>9195.9</v>
      </c>
      <c r="M333" t="s">
        <v>19</v>
      </c>
      <c r="N333">
        <v>70</v>
      </c>
    </row>
    <row r="334" spans="1:14" x14ac:dyDescent="0.35">
      <c r="A334">
        <v>100333</v>
      </c>
      <c r="B334">
        <v>44232</v>
      </c>
      <c r="C334" t="s">
        <v>85</v>
      </c>
      <c r="D334" t="s">
        <v>21</v>
      </c>
      <c r="E334" t="s">
        <v>37</v>
      </c>
      <c r="F334" t="s">
        <v>35</v>
      </c>
      <c r="G334" t="s">
        <v>45</v>
      </c>
      <c r="H334">
        <v>21569</v>
      </c>
      <c r="I334">
        <v>14736.9</v>
      </c>
      <c r="J334">
        <v>14736.9</v>
      </c>
      <c r="K334">
        <v>6832.1</v>
      </c>
      <c r="L334">
        <v>6832.1</v>
      </c>
      <c r="M334" t="s">
        <v>19</v>
      </c>
      <c r="N334">
        <v>78</v>
      </c>
    </row>
    <row r="335" spans="1:14" x14ac:dyDescent="0.35">
      <c r="A335">
        <v>100334</v>
      </c>
      <c r="B335">
        <v>85354</v>
      </c>
      <c r="C335" t="s">
        <v>318</v>
      </c>
      <c r="D335" t="s">
        <v>30</v>
      </c>
      <c r="E335" t="s">
        <v>16</v>
      </c>
      <c r="F335" t="s">
        <v>32</v>
      </c>
      <c r="G335" t="s">
        <v>72</v>
      </c>
      <c r="H335">
        <v>2280</v>
      </c>
      <c r="I335">
        <v>2012.35</v>
      </c>
      <c r="J335">
        <v>1156.8499999999999</v>
      </c>
      <c r="K335">
        <v>267.64999999999998</v>
      </c>
      <c r="L335">
        <v>1123.1500000000001</v>
      </c>
      <c r="M335" t="s">
        <v>39</v>
      </c>
      <c r="N335">
        <v>157</v>
      </c>
    </row>
    <row r="336" spans="1:14" x14ac:dyDescent="0.35">
      <c r="A336">
        <v>100335</v>
      </c>
      <c r="B336">
        <v>42327</v>
      </c>
      <c r="C336" t="s">
        <v>319</v>
      </c>
      <c r="D336" t="s">
        <v>30</v>
      </c>
      <c r="E336" t="s">
        <v>41</v>
      </c>
      <c r="F336" t="s">
        <v>35</v>
      </c>
      <c r="G336" t="s">
        <v>72</v>
      </c>
      <c r="H336">
        <v>17622</v>
      </c>
      <c r="I336">
        <v>12381.33</v>
      </c>
      <c r="J336">
        <v>12381.33</v>
      </c>
      <c r="K336">
        <v>5240.67</v>
      </c>
      <c r="L336">
        <v>5240.67</v>
      </c>
      <c r="M336" t="s">
        <v>19</v>
      </c>
      <c r="N336">
        <v>75</v>
      </c>
    </row>
    <row r="337" spans="1:14" x14ac:dyDescent="0.35">
      <c r="A337">
        <v>100336</v>
      </c>
      <c r="B337">
        <v>84233</v>
      </c>
      <c r="C337" t="s">
        <v>320</v>
      </c>
      <c r="D337" t="s">
        <v>65</v>
      </c>
      <c r="E337" t="s">
        <v>16</v>
      </c>
      <c r="F337" t="s">
        <v>27</v>
      </c>
      <c r="G337" t="s">
        <v>28</v>
      </c>
      <c r="H337">
        <v>24680</v>
      </c>
      <c r="I337">
        <v>16473.46</v>
      </c>
      <c r="J337">
        <v>16473.46</v>
      </c>
      <c r="K337">
        <v>8206.5400000000009</v>
      </c>
      <c r="L337">
        <v>8206.5400000000009</v>
      </c>
      <c r="M337" t="s">
        <v>19</v>
      </c>
      <c r="N337">
        <v>135</v>
      </c>
    </row>
    <row r="338" spans="1:14" x14ac:dyDescent="0.35">
      <c r="A338">
        <v>100337</v>
      </c>
      <c r="B338">
        <v>72169</v>
      </c>
      <c r="C338" t="s">
        <v>221</v>
      </c>
      <c r="D338" t="s">
        <v>30</v>
      </c>
      <c r="E338" t="s">
        <v>26</v>
      </c>
      <c r="F338" t="s">
        <v>35</v>
      </c>
      <c r="G338" t="s">
        <v>38</v>
      </c>
      <c r="H338">
        <v>459</v>
      </c>
      <c r="I338">
        <v>285.82</v>
      </c>
      <c r="J338">
        <v>285.82</v>
      </c>
      <c r="K338">
        <v>173.18</v>
      </c>
      <c r="L338">
        <v>173.18</v>
      </c>
      <c r="M338" t="s">
        <v>19</v>
      </c>
      <c r="N338">
        <v>62</v>
      </c>
    </row>
    <row r="339" spans="1:14" x14ac:dyDescent="0.35">
      <c r="A339">
        <v>100338</v>
      </c>
      <c r="B339">
        <v>69067</v>
      </c>
      <c r="C339" t="s">
        <v>321</v>
      </c>
      <c r="D339" t="s">
        <v>21</v>
      </c>
      <c r="E339" t="s">
        <v>26</v>
      </c>
      <c r="F339" t="s">
        <v>32</v>
      </c>
      <c r="G339" t="s">
        <v>47</v>
      </c>
      <c r="H339">
        <v>2181</v>
      </c>
      <c r="I339">
        <v>1743.37</v>
      </c>
      <c r="J339">
        <v>306.36</v>
      </c>
      <c r="K339">
        <v>437.63</v>
      </c>
      <c r="L339">
        <v>1874.64</v>
      </c>
      <c r="M339" t="s">
        <v>50</v>
      </c>
      <c r="N339">
        <v>45</v>
      </c>
    </row>
    <row r="340" spans="1:14" x14ac:dyDescent="0.35">
      <c r="A340">
        <v>100339</v>
      </c>
      <c r="B340">
        <v>95243</v>
      </c>
      <c r="C340" t="s">
        <v>322</v>
      </c>
      <c r="D340" t="s">
        <v>21</v>
      </c>
      <c r="E340" t="s">
        <v>41</v>
      </c>
      <c r="F340" t="s">
        <v>17</v>
      </c>
      <c r="G340" t="s">
        <v>24</v>
      </c>
      <c r="H340">
        <v>9167</v>
      </c>
      <c r="I340">
        <v>8322.69</v>
      </c>
      <c r="J340">
        <v>8322.69</v>
      </c>
      <c r="K340">
        <v>844.31</v>
      </c>
      <c r="L340">
        <v>844.31</v>
      </c>
      <c r="M340" t="s">
        <v>19</v>
      </c>
      <c r="N340">
        <v>135</v>
      </c>
    </row>
    <row r="341" spans="1:14" x14ac:dyDescent="0.35">
      <c r="A341">
        <v>100340</v>
      </c>
      <c r="B341">
        <v>18069</v>
      </c>
      <c r="C341" t="s">
        <v>86</v>
      </c>
      <c r="D341" t="s">
        <v>15</v>
      </c>
      <c r="E341" t="s">
        <v>16</v>
      </c>
      <c r="F341" t="s">
        <v>35</v>
      </c>
      <c r="G341" t="s">
        <v>72</v>
      </c>
      <c r="H341">
        <v>7914</v>
      </c>
      <c r="I341">
        <v>5083.2</v>
      </c>
      <c r="J341">
        <v>0</v>
      </c>
      <c r="K341">
        <v>2830.8</v>
      </c>
      <c r="L341">
        <v>7914</v>
      </c>
      <c r="M341" t="s">
        <v>62</v>
      </c>
      <c r="N341">
        <v>158</v>
      </c>
    </row>
    <row r="342" spans="1:14" x14ac:dyDescent="0.35">
      <c r="A342">
        <v>100341</v>
      </c>
      <c r="B342">
        <v>45525</v>
      </c>
      <c r="C342" t="s">
        <v>315</v>
      </c>
      <c r="D342" t="s">
        <v>34</v>
      </c>
      <c r="E342" t="s">
        <v>56</v>
      </c>
      <c r="F342" t="s">
        <v>35</v>
      </c>
      <c r="G342" t="s">
        <v>24</v>
      </c>
      <c r="H342">
        <v>15277</v>
      </c>
      <c r="I342">
        <v>8856.9500000000007</v>
      </c>
      <c r="J342">
        <v>1381.42</v>
      </c>
      <c r="K342">
        <v>6420.05</v>
      </c>
      <c r="L342">
        <v>13895.58</v>
      </c>
      <c r="M342" t="s">
        <v>50</v>
      </c>
      <c r="N342">
        <v>6</v>
      </c>
    </row>
    <row r="343" spans="1:14" x14ac:dyDescent="0.35">
      <c r="A343">
        <v>100342</v>
      </c>
      <c r="B343">
        <v>78827</v>
      </c>
      <c r="C343" t="s">
        <v>191</v>
      </c>
      <c r="D343" t="s">
        <v>49</v>
      </c>
      <c r="E343" t="s">
        <v>41</v>
      </c>
      <c r="F343" t="s">
        <v>44</v>
      </c>
      <c r="G343" t="s">
        <v>24</v>
      </c>
      <c r="H343">
        <v>16564</v>
      </c>
      <c r="I343">
        <v>9448.0499999999993</v>
      </c>
      <c r="J343">
        <v>974.68</v>
      </c>
      <c r="K343">
        <v>7115.95</v>
      </c>
      <c r="L343">
        <v>15589.32</v>
      </c>
      <c r="M343" t="s">
        <v>50</v>
      </c>
      <c r="N343">
        <v>44</v>
      </c>
    </row>
    <row r="344" spans="1:14" x14ac:dyDescent="0.35">
      <c r="A344">
        <v>100343</v>
      </c>
      <c r="B344">
        <v>59875</v>
      </c>
      <c r="C344" t="s">
        <v>257</v>
      </c>
      <c r="D344" t="s">
        <v>30</v>
      </c>
      <c r="E344" t="s">
        <v>16</v>
      </c>
      <c r="F344" t="s">
        <v>17</v>
      </c>
      <c r="G344" t="s">
        <v>47</v>
      </c>
      <c r="H344">
        <v>2178</v>
      </c>
      <c r="I344">
        <v>2021.23</v>
      </c>
      <c r="J344">
        <v>383.17</v>
      </c>
      <c r="K344">
        <v>156.77000000000001</v>
      </c>
      <c r="L344">
        <v>1794.83</v>
      </c>
      <c r="M344" t="s">
        <v>50</v>
      </c>
      <c r="N344">
        <v>83</v>
      </c>
    </row>
    <row r="345" spans="1:14" x14ac:dyDescent="0.35">
      <c r="A345">
        <v>100344</v>
      </c>
      <c r="B345">
        <v>49139</v>
      </c>
      <c r="C345" t="s">
        <v>323</v>
      </c>
      <c r="D345" t="s">
        <v>49</v>
      </c>
      <c r="E345" t="s">
        <v>26</v>
      </c>
      <c r="F345" t="s">
        <v>27</v>
      </c>
      <c r="G345" t="s">
        <v>38</v>
      </c>
      <c r="H345">
        <v>3487</v>
      </c>
      <c r="I345">
        <v>2539.0700000000002</v>
      </c>
      <c r="J345">
        <v>1433.48</v>
      </c>
      <c r="K345">
        <v>947.93</v>
      </c>
      <c r="L345">
        <v>2053.52</v>
      </c>
      <c r="M345" t="s">
        <v>39</v>
      </c>
      <c r="N345">
        <v>81</v>
      </c>
    </row>
    <row r="346" spans="1:14" x14ac:dyDescent="0.35">
      <c r="A346">
        <v>100345</v>
      </c>
      <c r="B346">
        <v>22583</v>
      </c>
      <c r="C346" t="s">
        <v>313</v>
      </c>
      <c r="D346" t="s">
        <v>49</v>
      </c>
      <c r="E346" t="s">
        <v>56</v>
      </c>
      <c r="F346" t="s">
        <v>27</v>
      </c>
      <c r="G346" t="s">
        <v>18</v>
      </c>
      <c r="H346">
        <v>13593</v>
      </c>
      <c r="I346">
        <v>10570.1</v>
      </c>
      <c r="J346">
        <v>2549.16</v>
      </c>
      <c r="K346">
        <v>3022.9</v>
      </c>
      <c r="L346">
        <v>11043.84</v>
      </c>
      <c r="M346" t="s">
        <v>50</v>
      </c>
      <c r="N346">
        <v>178</v>
      </c>
    </row>
    <row r="347" spans="1:14" x14ac:dyDescent="0.35">
      <c r="A347">
        <v>100346</v>
      </c>
      <c r="B347">
        <v>79796</v>
      </c>
      <c r="C347" t="s">
        <v>295</v>
      </c>
      <c r="D347" t="s">
        <v>34</v>
      </c>
      <c r="E347" t="s">
        <v>22</v>
      </c>
      <c r="F347" t="s">
        <v>61</v>
      </c>
      <c r="G347" t="s">
        <v>38</v>
      </c>
      <c r="H347">
        <v>23183</v>
      </c>
      <c r="I347">
        <v>19434.75</v>
      </c>
      <c r="J347">
        <v>19434.75</v>
      </c>
      <c r="K347">
        <v>3748.25</v>
      </c>
      <c r="L347">
        <v>3748.25</v>
      </c>
      <c r="M347" t="s">
        <v>19</v>
      </c>
      <c r="N347">
        <v>103</v>
      </c>
    </row>
    <row r="348" spans="1:14" x14ac:dyDescent="0.35">
      <c r="A348">
        <v>100347</v>
      </c>
      <c r="B348">
        <v>59907</v>
      </c>
      <c r="C348" t="s">
        <v>268</v>
      </c>
      <c r="D348" t="s">
        <v>15</v>
      </c>
      <c r="E348" t="s">
        <v>43</v>
      </c>
      <c r="F348" t="s">
        <v>27</v>
      </c>
      <c r="G348" t="s">
        <v>47</v>
      </c>
      <c r="H348">
        <v>24831</v>
      </c>
      <c r="I348">
        <v>20719.669999999998</v>
      </c>
      <c r="J348">
        <v>0</v>
      </c>
      <c r="K348">
        <v>4111.33</v>
      </c>
      <c r="L348">
        <v>24831</v>
      </c>
      <c r="M348" t="s">
        <v>62</v>
      </c>
      <c r="N348">
        <v>38</v>
      </c>
    </row>
    <row r="349" spans="1:14" x14ac:dyDescent="0.35">
      <c r="A349">
        <v>100348</v>
      </c>
      <c r="B349">
        <v>27831</v>
      </c>
      <c r="C349" t="s">
        <v>324</v>
      </c>
      <c r="D349" t="s">
        <v>15</v>
      </c>
      <c r="E349" t="s">
        <v>31</v>
      </c>
      <c r="F349" t="s">
        <v>54</v>
      </c>
      <c r="G349" t="s">
        <v>24</v>
      </c>
      <c r="H349">
        <v>13312</v>
      </c>
      <c r="I349">
        <v>10814.21</v>
      </c>
      <c r="J349">
        <v>10814.21</v>
      </c>
      <c r="K349">
        <v>2497.79</v>
      </c>
      <c r="L349">
        <v>2497.79</v>
      </c>
      <c r="M349" t="s">
        <v>19</v>
      </c>
      <c r="N349">
        <v>111</v>
      </c>
    </row>
    <row r="350" spans="1:14" x14ac:dyDescent="0.35">
      <c r="A350">
        <v>100349</v>
      </c>
      <c r="B350">
        <v>74953</v>
      </c>
      <c r="C350" t="s">
        <v>325</v>
      </c>
      <c r="D350" t="s">
        <v>30</v>
      </c>
      <c r="E350" t="s">
        <v>16</v>
      </c>
      <c r="F350" t="s">
        <v>23</v>
      </c>
      <c r="G350" t="s">
        <v>72</v>
      </c>
      <c r="H350">
        <v>6725</v>
      </c>
      <c r="I350">
        <v>4839.62</v>
      </c>
      <c r="J350">
        <v>4839.62</v>
      </c>
      <c r="K350">
        <v>1885.38</v>
      </c>
      <c r="L350">
        <v>1885.38</v>
      </c>
      <c r="M350" t="s">
        <v>19</v>
      </c>
      <c r="N350">
        <v>110</v>
      </c>
    </row>
    <row r="351" spans="1:14" x14ac:dyDescent="0.35">
      <c r="A351">
        <v>100350</v>
      </c>
      <c r="B351">
        <v>73189</v>
      </c>
      <c r="C351" t="s">
        <v>209</v>
      </c>
      <c r="D351" t="s">
        <v>34</v>
      </c>
      <c r="E351" t="s">
        <v>31</v>
      </c>
      <c r="F351" t="s">
        <v>61</v>
      </c>
      <c r="G351" t="s">
        <v>38</v>
      </c>
      <c r="H351">
        <v>9173</v>
      </c>
      <c r="I351">
        <v>6437.95</v>
      </c>
      <c r="J351">
        <v>3415.04</v>
      </c>
      <c r="K351">
        <v>2735.05</v>
      </c>
      <c r="L351">
        <v>5757.96</v>
      </c>
      <c r="M351" t="s">
        <v>39</v>
      </c>
      <c r="N351">
        <v>142</v>
      </c>
    </row>
    <row r="352" spans="1:14" x14ac:dyDescent="0.35">
      <c r="A352">
        <v>100351</v>
      </c>
      <c r="B352">
        <v>82728</v>
      </c>
      <c r="C352" t="s">
        <v>86</v>
      </c>
      <c r="D352" t="s">
        <v>30</v>
      </c>
      <c r="E352" t="s">
        <v>41</v>
      </c>
      <c r="F352" t="s">
        <v>23</v>
      </c>
      <c r="G352" t="s">
        <v>24</v>
      </c>
      <c r="H352">
        <v>11143</v>
      </c>
      <c r="I352">
        <v>8803.49</v>
      </c>
      <c r="J352">
        <v>8803.49</v>
      </c>
      <c r="K352">
        <v>2339.5100000000002</v>
      </c>
      <c r="L352">
        <v>2339.5100000000002</v>
      </c>
      <c r="M352" t="s">
        <v>19</v>
      </c>
      <c r="N352">
        <v>33</v>
      </c>
    </row>
    <row r="353" spans="1:14" x14ac:dyDescent="0.35">
      <c r="A353">
        <v>100352</v>
      </c>
      <c r="B353">
        <v>19999</v>
      </c>
      <c r="C353" t="s">
        <v>73</v>
      </c>
      <c r="D353" t="s">
        <v>49</v>
      </c>
      <c r="E353" t="s">
        <v>37</v>
      </c>
      <c r="F353" t="s">
        <v>35</v>
      </c>
      <c r="G353" t="s">
        <v>47</v>
      </c>
      <c r="H353">
        <v>20223</v>
      </c>
      <c r="I353">
        <v>13159.97</v>
      </c>
      <c r="J353">
        <v>13159.97</v>
      </c>
      <c r="K353">
        <v>7063.03</v>
      </c>
      <c r="L353">
        <v>7063.03</v>
      </c>
      <c r="M353" t="s">
        <v>19</v>
      </c>
      <c r="N353">
        <v>18</v>
      </c>
    </row>
    <row r="354" spans="1:14" x14ac:dyDescent="0.35">
      <c r="A354">
        <v>100353</v>
      </c>
      <c r="B354">
        <v>18676</v>
      </c>
      <c r="C354" t="s">
        <v>308</v>
      </c>
      <c r="D354" t="s">
        <v>21</v>
      </c>
      <c r="E354" t="s">
        <v>26</v>
      </c>
      <c r="F354" t="s">
        <v>17</v>
      </c>
      <c r="G354" t="s">
        <v>45</v>
      </c>
      <c r="H354">
        <v>1626</v>
      </c>
      <c r="I354">
        <v>1086.49</v>
      </c>
      <c r="J354">
        <v>1086.49</v>
      </c>
      <c r="K354">
        <v>539.51</v>
      </c>
      <c r="L354">
        <v>539.51</v>
      </c>
      <c r="M354" t="s">
        <v>19</v>
      </c>
      <c r="N354">
        <v>174</v>
      </c>
    </row>
    <row r="355" spans="1:14" x14ac:dyDescent="0.35">
      <c r="A355">
        <v>100354</v>
      </c>
      <c r="B355">
        <v>85044</v>
      </c>
      <c r="C355" t="s">
        <v>320</v>
      </c>
      <c r="D355" t="s">
        <v>49</v>
      </c>
      <c r="E355" t="s">
        <v>31</v>
      </c>
      <c r="F355" t="s">
        <v>44</v>
      </c>
      <c r="G355" t="s">
        <v>45</v>
      </c>
      <c r="H355">
        <v>24384</v>
      </c>
      <c r="I355">
        <v>19023.169999999998</v>
      </c>
      <c r="J355">
        <v>0</v>
      </c>
      <c r="K355">
        <v>5360.83</v>
      </c>
      <c r="L355">
        <v>24384</v>
      </c>
      <c r="M355" t="s">
        <v>62</v>
      </c>
      <c r="N355">
        <v>0</v>
      </c>
    </row>
    <row r="356" spans="1:14" x14ac:dyDescent="0.35">
      <c r="A356">
        <v>100355</v>
      </c>
      <c r="B356">
        <v>92061</v>
      </c>
      <c r="C356" t="s">
        <v>326</v>
      </c>
      <c r="D356" t="s">
        <v>52</v>
      </c>
      <c r="E356" t="s">
        <v>37</v>
      </c>
      <c r="F356" t="s">
        <v>32</v>
      </c>
      <c r="G356" t="s">
        <v>28</v>
      </c>
      <c r="H356">
        <v>22621</v>
      </c>
      <c r="I356">
        <v>12823.52</v>
      </c>
      <c r="J356">
        <v>12823.52</v>
      </c>
      <c r="K356">
        <v>9797.48</v>
      </c>
      <c r="L356">
        <v>9797.48</v>
      </c>
      <c r="M356" t="s">
        <v>19</v>
      </c>
      <c r="N356">
        <v>62</v>
      </c>
    </row>
    <row r="357" spans="1:14" x14ac:dyDescent="0.35">
      <c r="A357">
        <v>100356</v>
      </c>
      <c r="B357">
        <v>50923</v>
      </c>
      <c r="C357" t="s">
        <v>316</v>
      </c>
      <c r="D357" t="s">
        <v>52</v>
      </c>
      <c r="E357" t="s">
        <v>56</v>
      </c>
      <c r="F357" t="s">
        <v>23</v>
      </c>
      <c r="G357" t="s">
        <v>45</v>
      </c>
      <c r="H357">
        <v>17127</v>
      </c>
      <c r="I357">
        <v>14125.54</v>
      </c>
      <c r="J357">
        <v>14125.54</v>
      </c>
      <c r="K357">
        <v>3001.46</v>
      </c>
      <c r="L357">
        <v>3001.46</v>
      </c>
      <c r="M357" t="s">
        <v>19</v>
      </c>
      <c r="N357">
        <v>156</v>
      </c>
    </row>
    <row r="358" spans="1:14" x14ac:dyDescent="0.35">
      <c r="A358">
        <v>100357</v>
      </c>
      <c r="B358">
        <v>54027</v>
      </c>
      <c r="C358" t="s">
        <v>322</v>
      </c>
      <c r="D358" t="s">
        <v>52</v>
      </c>
      <c r="E358" t="s">
        <v>43</v>
      </c>
      <c r="F358" t="s">
        <v>44</v>
      </c>
      <c r="G358" t="s">
        <v>72</v>
      </c>
      <c r="H358">
        <v>19208</v>
      </c>
      <c r="I358">
        <v>15141.63</v>
      </c>
      <c r="J358">
        <v>9535.2999999999993</v>
      </c>
      <c r="K358">
        <v>4066.37</v>
      </c>
      <c r="L358">
        <v>9672.7000000000007</v>
      </c>
      <c r="M358" t="s">
        <v>39</v>
      </c>
      <c r="N358">
        <v>86</v>
      </c>
    </row>
    <row r="359" spans="1:14" x14ac:dyDescent="0.35">
      <c r="A359">
        <v>100358</v>
      </c>
      <c r="B359">
        <v>26147</v>
      </c>
      <c r="C359" t="s">
        <v>95</v>
      </c>
      <c r="D359" t="s">
        <v>49</v>
      </c>
      <c r="E359" t="s">
        <v>31</v>
      </c>
      <c r="F359" t="s">
        <v>23</v>
      </c>
      <c r="G359" t="s">
        <v>38</v>
      </c>
      <c r="H359">
        <v>2613</v>
      </c>
      <c r="I359">
        <v>1608.15</v>
      </c>
      <c r="J359">
        <v>1608.15</v>
      </c>
      <c r="K359">
        <v>1004.85</v>
      </c>
      <c r="L359">
        <v>1004.85</v>
      </c>
      <c r="M359" t="s">
        <v>19</v>
      </c>
      <c r="N359">
        <v>147</v>
      </c>
    </row>
    <row r="360" spans="1:14" x14ac:dyDescent="0.35">
      <c r="A360">
        <v>100359</v>
      </c>
      <c r="B360">
        <v>99295</v>
      </c>
      <c r="C360" t="s">
        <v>124</v>
      </c>
      <c r="D360" t="s">
        <v>21</v>
      </c>
      <c r="E360" t="s">
        <v>16</v>
      </c>
      <c r="F360" t="s">
        <v>35</v>
      </c>
      <c r="G360" t="s">
        <v>24</v>
      </c>
      <c r="H360">
        <v>14026</v>
      </c>
      <c r="I360">
        <v>9079.9599999999991</v>
      </c>
      <c r="J360">
        <v>9079.9599999999991</v>
      </c>
      <c r="K360">
        <v>4946.04</v>
      </c>
      <c r="L360">
        <v>4946.04</v>
      </c>
      <c r="M360" t="s">
        <v>19</v>
      </c>
      <c r="N360">
        <v>158</v>
      </c>
    </row>
    <row r="361" spans="1:14" x14ac:dyDescent="0.35">
      <c r="A361">
        <v>100360</v>
      </c>
      <c r="B361">
        <v>46232</v>
      </c>
      <c r="C361" t="s">
        <v>327</v>
      </c>
      <c r="D361" t="s">
        <v>49</v>
      </c>
      <c r="E361" t="s">
        <v>26</v>
      </c>
      <c r="F361" t="s">
        <v>32</v>
      </c>
      <c r="G361" t="s">
        <v>38</v>
      </c>
      <c r="H361">
        <v>6870</v>
      </c>
      <c r="I361">
        <v>3980.29</v>
      </c>
      <c r="J361">
        <v>3980.29</v>
      </c>
      <c r="K361">
        <v>2889.71</v>
      </c>
      <c r="L361">
        <v>2889.71</v>
      </c>
      <c r="M361" t="s">
        <v>19</v>
      </c>
      <c r="N361">
        <v>117</v>
      </c>
    </row>
    <row r="362" spans="1:14" x14ac:dyDescent="0.35">
      <c r="A362">
        <v>100361</v>
      </c>
      <c r="B362">
        <v>18009</v>
      </c>
      <c r="C362" t="s">
        <v>264</v>
      </c>
      <c r="D362" t="s">
        <v>21</v>
      </c>
      <c r="E362" t="s">
        <v>41</v>
      </c>
      <c r="F362" t="s">
        <v>44</v>
      </c>
      <c r="G362" t="s">
        <v>38</v>
      </c>
      <c r="H362">
        <v>2374</v>
      </c>
      <c r="I362">
        <v>2002.7</v>
      </c>
      <c r="J362">
        <v>1629.83</v>
      </c>
      <c r="K362">
        <v>371.3</v>
      </c>
      <c r="L362">
        <v>744.17</v>
      </c>
      <c r="M362" t="s">
        <v>39</v>
      </c>
      <c r="N362">
        <v>8</v>
      </c>
    </row>
    <row r="363" spans="1:14" x14ac:dyDescent="0.35">
      <c r="A363">
        <v>100362</v>
      </c>
      <c r="B363">
        <v>62149</v>
      </c>
      <c r="C363" t="s">
        <v>82</v>
      </c>
      <c r="D363" t="s">
        <v>15</v>
      </c>
      <c r="E363" t="s">
        <v>16</v>
      </c>
      <c r="F363" t="s">
        <v>35</v>
      </c>
      <c r="G363" t="s">
        <v>72</v>
      </c>
      <c r="H363">
        <v>11307</v>
      </c>
      <c r="I363">
        <v>8367.65</v>
      </c>
      <c r="J363">
        <v>8367.65</v>
      </c>
      <c r="K363">
        <v>2939.35</v>
      </c>
      <c r="L363">
        <v>2939.35</v>
      </c>
      <c r="M363" t="s">
        <v>19</v>
      </c>
      <c r="N363">
        <v>98</v>
      </c>
    </row>
    <row r="364" spans="1:14" x14ac:dyDescent="0.35">
      <c r="A364">
        <v>100363</v>
      </c>
      <c r="B364">
        <v>57717</v>
      </c>
      <c r="C364" t="s">
        <v>328</v>
      </c>
      <c r="D364" t="s">
        <v>30</v>
      </c>
      <c r="E364" t="s">
        <v>43</v>
      </c>
      <c r="F364" t="s">
        <v>27</v>
      </c>
      <c r="G364" t="s">
        <v>18</v>
      </c>
      <c r="H364">
        <v>967</v>
      </c>
      <c r="I364">
        <v>822.16</v>
      </c>
      <c r="J364">
        <v>822.16</v>
      </c>
      <c r="K364">
        <v>144.84</v>
      </c>
      <c r="L364">
        <v>144.84</v>
      </c>
      <c r="M364" t="s">
        <v>19</v>
      </c>
      <c r="N364">
        <v>53</v>
      </c>
    </row>
    <row r="365" spans="1:14" x14ac:dyDescent="0.35">
      <c r="A365">
        <v>100364</v>
      </c>
      <c r="B365">
        <v>35662</v>
      </c>
      <c r="C365" t="s">
        <v>329</v>
      </c>
      <c r="D365" t="s">
        <v>65</v>
      </c>
      <c r="E365" t="s">
        <v>31</v>
      </c>
      <c r="F365" t="s">
        <v>35</v>
      </c>
      <c r="G365" t="s">
        <v>38</v>
      </c>
      <c r="H365">
        <v>24243</v>
      </c>
      <c r="I365">
        <v>17064.14</v>
      </c>
      <c r="J365">
        <v>17064.14</v>
      </c>
      <c r="K365">
        <v>7178.86</v>
      </c>
      <c r="L365">
        <v>7178.86</v>
      </c>
      <c r="M365" t="s">
        <v>19</v>
      </c>
      <c r="N365">
        <v>66</v>
      </c>
    </row>
    <row r="366" spans="1:14" x14ac:dyDescent="0.35">
      <c r="A366">
        <v>100365</v>
      </c>
      <c r="B366">
        <v>42172</v>
      </c>
      <c r="C366" t="s">
        <v>63</v>
      </c>
      <c r="D366" t="s">
        <v>49</v>
      </c>
      <c r="E366" t="s">
        <v>16</v>
      </c>
      <c r="F366" t="s">
        <v>17</v>
      </c>
      <c r="G366" t="s">
        <v>45</v>
      </c>
      <c r="H366">
        <v>16851</v>
      </c>
      <c r="I366">
        <v>13569.37</v>
      </c>
      <c r="J366">
        <v>13569.37</v>
      </c>
      <c r="K366">
        <v>3281.63</v>
      </c>
      <c r="L366">
        <v>3281.63</v>
      </c>
      <c r="M366" t="s">
        <v>19</v>
      </c>
      <c r="N366">
        <v>133</v>
      </c>
    </row>
    <row r="367" spans="1:14" x14ac:dyDescent="0.35">
      <c r="A367">
        <v>100366</v>
      </c>
      <c r="B367">
        <v>59487</v>
      </c>
      <c r="C367" t="s">
        <v>330</v>
      </c>
      <c r="D367" t="s">
        <v>21</v>
      </c>
      <c r="E367" t="s">
        <v>22</v>
      </c>
      <c r="F367" t="s">
        <v>32</v>
      </c>
      <c r="G367" t="s">
        <v>28</v>
      </c>
      <c r="H367">
        <v>22242</v>
      </c>
      <c r="I367">
        <v>13437.02</v>
      </c>
      <c r="J367">
        <v>9490.16</v>
      </c>
      <c r="K367">
        <v>8804.98</v>
      </c>
      <c r="L367">
        <v>12751.84</v>
      </c>
      <c r="M367" t="s">
        <v>39</v>
      </c>
      <c r="N367">
        <v>7</v>
      </c>
    </row>
    <row r="368" spans="1:14" x14ac:dyDescent="0.35">
      <c r="A368">
        <v>100367</v>
      </c>
      <c r="B368">
        <v>38346</v>
      </c>
      <c r="C368" t="s">
        <v>331</v>
      </c>
      <c r="D368" t="s">
        <v>21</v>
      </c>
      <c r="E368" t="s">
        <v>37</v>
      </c>
      <c r="F368" t="s">
        <v>35</v>
      </c>
      <c r="G368" t="s">
        <v>18</v>
      </c>
      <c r="H368">
        <v>1656</v>
      </c>
      <c r="I368">
        <v>1332.86</v>
      </c>
      <c r="J368">
        <v>865.05</v>
      </c>
      <c r="K368">
        <v>323.14</v>
      </c>
      <c r="L368">
        <v>790.95</v>
      </c>
      <c r="M368" t="s">
        <v>39</v>
      </c>
      <c r="N368">
        <v>4</v>
      </c>
    </row>
    <row r="369" spans="1:14" x14ac:dyDescent="0.35">
      <c r="A369">
        <v>100368</v>
      </c>
      <c r="B369">
        <v>90589</v>
      </c>
      <c r="C369" t="s">
        <v>332</v>
      </c>
      <c r="D369" t="s">
        <v>30</v>
      </c>
      <c r="E369" t="s">
        <v>56</v>
      </c>
      <c r="F369" t="s">
        <v>17</v>
      </c>
      <c r="G369" t="s">
        <v>38</v>
      </c>
      <c r="H369">
        <v>16376</v>
      </c>
      <c r="I369">
        <v>10196.73</v>
      </c>
      <c r="J369">
        <v>8028.21</v>
      </c>
      <c r="K369">
        <v>6179.27</v>
      </c>
      <c r="L369">
        <v>8347.7900000000009</v>
      </c>
      <c r="M369" t="s">
        <v>39</v>
      </c>
      <c r="N369">
        <v>148</v>
      </c>
    </row>
    <row r="370" spans="1:14" x14ac:dyDescent="0.35">
      <c r="A370">
        <v>100369</v>
      </c>
      <c r="B370">
        <v>23339</v>
      </c>
      <c r="C370" t="s">
        <v>333</v>
      </c>
      <c r="D370" t="s">
        <v>15</v>
      </c>
      <c r="E370" t="s">
        <v>41</v>
      </c>
      <c r="F370" t="s">
        <v>17</v>
      </c>
      <c r="G370" t="s">
        <v>18</v>
      </c>
      <c r="H370">
        <v>8531</v>
      </c>
      <c r="I370">
        <v>8016.49</v>
      </c>
      <c r="J370">
        <v>0</v>
      </c>
      <c r="K370">
        <v>514.51</v>
      </c>
      <c r="L370">
        <v>8531</v>
      </c>
      <c r="M370" t="s">
        <v>62</v>
      </c>
      <c r="N370">
        <v>13</v>
      </c>
    </row>
    <row r="371" spans="1:14" x14ac:dyDescent="0.35">
      <c r="A371">
        <v>100370</v>
      </c>
      <c r="B371">
        <v>92956</v>
      </c>
      <c r="C371" t="s">
        <v>334</v>
      </c>
      <c r="D371" t="s">
        <v>65</v>
      </c>
      <c r="E371" t="s">
        <v>37</v>
      </c>
      <c r="F371" t="s">
        <v>27</v>
      </c>
      <c r="G371" t="s">
        <v>28</v>
      </c>
      <c r="H371">
        <v>12710</v>
      </c>
      <c r="I371">
        <v>9086.9</v>
      </c>
      <c r="J371">
        <v>9086.9</v>
      </c>
      <c r="K371">
        <v>3623.1</v>
      </c>
      <c r="L371">
        <v>3623.1</v>
      </c>
      <c r="M371" t="s">
        <v>19</v>
      </c>
      <c r="N371">
        <v>148</v>
      </c>
    </row>
    <row r="372" spans="1:14" x14ac:dyDescent="0.35">
      <c r="A372">
        <v>100371</v>
      </c>
      <c r="B372">
        <v>30967</v>
      </c>
      <c r="C372" t="s">
        <v>335</v>
      </c>
      <c r="D372" t="s">
        <v>21</v>
      </c>
      <c r="E372" t="s">
        <v>41</v>
      </c>
      <c r="F372" t="s">
        <v>44</v>
      </c>
      <c r="G372" t="s">
        <v>72</v>
      </c>
      <c r="H372">
        <v>14888</v>
      </c>
      <c r="I372">
        <v>10329.709999999999</v>
      </c>
      <c r="J372">
        <v>4270.46</v>
      </c>
      <c r="K372">
        <v>4558.29</v>
      </c>
      <c r="L372">
        <v>10617.54</v>
      </c>
      <c r="M372" t="s">
        <v>39</v>
      </c>
      <c r="N372">
        <v>175</v>
      </c>
    </row>
    <row r="373" spans="1:14" x14ac:dyDescent="0.35">
      <c r="A373">
        <v>100372</v>
      </c>
      <c r="B373">
        <v>17883</v>
      </c>
      <c r="C373" t="s">
        <v>201</v>
      </c>
      <c r="D373" t="s">
        <v>30</v>
      </c>
      <c r="E373" t="s">
        <v>22</v>
      </c>
      <c r="F373" t="s">
        <v>44</v>
      </c>
      <c r="G373" t="s">
        <v>24</v>
      </c>
      <c r="H373">
        <v>5021</v>
      </c>
      <c r="I373">
        <v>4384.7299999999996</v>
      </c>
      <c r="J373">
        <v>1910.21</v>
      </c>
      <c r="K373">
        <v>636.27</v>
      </c>
      <c r="L373">
        <v>3110.79</v>
      </c>
      <c r="M373" t="s">
        <v>39</v>
      </c>
      <c r="N373">
        <v>12</v>
      </c>
    </row>
    <row r="374" spans="1:14" x14ac:dyDescent="0.35">
      <c r="A374">
        <v>100373</v>
      </c>
      <c r="B374">
        <v>48726</v>
      </c>
      <c r="C374" t="s">
        <v>336</v>
      </c>
      <c r="D374" t="s">
        <v>15</v>
      </c>
      <c r="E374" t="s">
        <v>26</v>
      </c>
      <c r="F374" t="s">
        <v>32</v>
      </c>
      <c r="G374" t="s">
        <v>72</v>
      </c>
      <c r="H374">
        <v>4969</v>
      </c>
      <c r="I374">
        <v>4169.76</v>
      </c>
      <c r="J374">
        <v>4169.76</v>
      </c>
      <c r="K374">
        <v>799.24</v>
      </c>
      <c r="L374">
        <v>799.24</v>
      </c>
      <c r="M374" t="s">
        <v>19</v>
      </c>
      <c r="N374">
        <v>148</v>
      </c>
    </row>
    <row r="375" spans="1:14" x14ac:dyDescent="0.35">
      <c r="A375">
        <v>100374</v>
      </c>
      <c r="B375">
        <v>88501</v>
      </c>
      <c r="C375" t="s">
        <v>337</v>
      </c>
      <c r="D375" t="s">
        <v>49</v>
      </c>
      <c r="E375" t="s">
        <v>56</v>
      </c>
      <c r="F375" t="s">
        <v>61</v>
      </c>
      <c r="G375" t="s">
        <v>38</v>
      </c>
      <c r="H375">
        <v>1528</v>
      </c>
      <c r="I375">
        <v>1333.69</v>
      </c>
      <c r="J375">
        <v>607.4</v>
      </c>
      <c r="K375">
        <v>194.31</v>
      </c>
      <c r="L375">
        <v>920.6</v>
      </c>
      <c r="M375" t="s">
        <v>39</v>
      </c>
      <c r="N375">
        <v>134</v>
      </c>
    </row>
    <row r="376" spans="1:14" x14ac:dyDescent="0.35">
      <c r="A376">
        <v>100375</v>
      </c>
      <c r="B376">
        <v>17105</v>
      </c>
      <c r="C376" t="s">
        <v>282</v>
      </c>
      <c r="D376" t="s">
        <v>30</v>
      </c>
      <c r="E376" t="s">
        <v>56</v>
      </c>
      <c r="F376" t="s">
        <v>17</v>
      </c>
      <c r="G376" t="s">
        <v>28</v>
      </c>
      <c r="H376">
        <v>22896</v>
      </c>
      <c r="I376">
        <v>21617.79</v>
      </c>
      <c r="J376">
        <v>21617.79</v>
      </c>
      <c r="K376">
        <v>1278.21</v>
      </c>
      <c r="L376">
        <v>1278.21</v>
      </c>
      <c r="M376" t="s">
        <v>19</v>
      </c>
      <c r="N376">
        <v>9</v>
      </c>
    </row>
    <row r="377" spans="1:14" x14ac:dyDescent="0.35">
      <c r="A377">
        <v>100376</v>
      </c>
      <c r="B377">
        <v>37604</v>
      </c>
      <c r="C377" t="s">
        <v>318</v>
      </c>
      <c r="D377" t="s">
        <v>52</v>
      </c>
      <c r="E377" t="s">
        <v>22</v>
      </c>
      <c r="F377" t="s">
        <v>32</v>
      </c>
      <c r="G377" t="s">
        <v>24</v>
      </c>
      <c r="H377">
        <v>21563</v>
      </c>
      <c r="I377">
        <v>18743.48</v>
      </c>
      <c r="J377">
        <v>18743.48</v>
      </c>
      <c r="K377">
        <v>2819.52</v>
      </c>
      <c r="L377">
        <v>2819.52</v>
      </c>
      <c r="M377" t="s">
        <v>19</v>
      </c>
      <c r="N377">
        <v>100</v>
      </c>
    </row>
    <row r="378" spans="1:14" x14ac:dyDescent="0.35">
      <c r="A378">
        <v>100377</v>
      </c>
      <c r="B378">
        <v>52613</v>
      </c>
      <c r="C378" t="s">
        <v>93</v>
      </c>
      <c r="D378" t="s">
        <v>15</v>
      </c>
      <c r="E378" t="s">
        <v>22</v>
      </c>
      <c r="F378" t="s">
        <v>17</v>
      </c>
      <c r="G378" t="s">
        <v>38</v>
      </c>
      <c r="H378">
        <v>4435</v>
      </c>
      <c r="I378">
        <v>3391.9</v>
      </c>
      <c r="J378">
        <v>3391.9</v>
      </c>
      <c r="K378">
        <v>1043.0999999999999</v>
      </c>
      <c r="L378">
        <v>1043.0999999999999</v>
      </c>
      <c r="M378" t="s">
        <v>19</v>
      </c>
      <c r="N378">
        <v>101</v>
      </c>
    </row>
    <row r="379" spans="1:14" x14ac:dyDescent="0.35">
      <c r="A379">
        <v>100378</v>
      </c>
      <c r="B379">
        <v>40943</v>
      </c>
      <c r="C379" t="s">
        <v>338</v>
      </c>
      <c r="D379" t="s">
        <v>30</v>
      </c>
      <c r="E379" t="s">
        <v>26</v>
      </c>
      <c r="F379" t="s">
        <v>61</v>
      </c>
      <c r="G379" t="s">
        <v>45</v>
      </c>
      <c r="H379">
        <v>1416</v>
      </c>
      <c r="I379">
        <v>850.92</v>
      </c>
      <c r="J379">
        <v>850.92</v>
      </c>
      <c r="K379">
        <v>565.08000000000004</v>
      </c>
      <c r="L379">
        <v>565.08000000000004</v>
      </c>
      <c r="M379" t="s">
        <v>19</v>
      </c>
      <c r="N379">
        <v>169</v>
      </c>
    </row>
    <row r="380" spans="1:14" x14ac:dyDescent="0.35">
      <c r="A380">
        <v>100379</v>
      </c>
      <c r="B380">
        <v>74820</v>
      </c>
      <c r="C380" t="s">
        <v>339</v>
      </c>
      <c r="D380" t="s">
        <v>49</v>
      </c>
      <c r="E380" t="s">
        <v>56</v>
      </c>
      <c r="F380" t="s">
        <v>32</v>
      </c>
      <c r="G380" t="s">
        <v>28</v>
      </c>
      <c r="H380">
        <v>24245</v>
      </c>
      <c r="I380">
        <v>19759.02</v>
      </c>
      <c r="J380">
        <v>19759.02</v>
      </c>
      <c r="K380">
        <v>4485.9799999999996</v>
      </c>
      <c r="L380">
        <v>4485.9799999999996</v>
      </c>
      <c r="M380" t="s">
        <v>19</v>
      </c>
      <c r="N380">
        <v>48</v>
      </c>
    </row>
    <row r="381" spans="1:14" x14ac:dyDescent="0.35">
      <c r="A381">
        <v>100380</v>
      </c>
      <c r="B381">
        <v>63435</v>
      </c>
      <c r="C381" t="s">
        <v>340</v>
      </c>
      <c r="D381" t="s">
        <v>49</v>
      </c>
      <c r="E381" t="s">
        <v>43</v>
      </c>
      <c r="F381" t="s">
        <v>61</v>
      </c>
      <c r="G381" t="s">
        <v>28</v>
      </c>
      <c r="H381">
        <v>18727</v>
      </c>
      <c r="I381">
        <v>10590.21</v>
      </c>
      <c r="J381">
        <v>0</v>
      </c>
      <c r="K381">
        <v>8136.79</v>
      </c>
      <c r="L381">
        <v>18727</v>
      </c>
      <c r="M381" t="s">
        <v>62</v>
      </c>
      <c r="N381">
        <v>28</v>
      </c>
    </row>
    <row r="382" spans="1:14" x14ac:dyDescent="0.35">
      <c r="A382">
        <v>100381</v>
      </c>
      <c r="B382">
        <v>79381</v>
      </c>
      <c r="C382" t="s">
        <v>341</v>
      </c>
      <c r="D382" t="s">
        <v>49</v>
      </c>
      <c r="E382" t="s">
        <v>56</v>
      </c>
      <c r="F382" t="s">
        <v>27</v>
      </c>
      <c r="G382" t="s">
        <v>45</v>
      </c>
      <c r="H382">
        <v>24538</v>
      </c>
      <c r="I382">
        <v>17452.310000000001</v>
      </c>
      <c r="J382">
        <v>17452.310000000001</v>
      </c>
      <c r="K382">
        <v>7085.69</v>
      </c>
      <c r="L382">
        <v>7085.69</v>
      </c>
      <c r="M382" t="s">
        <v>19</v>
      </c>
      <c r="N382">
        <v>112</v>
      </c>
    </row>
    <row r="383" spans="1:14" x14ac:dyDescent="0.35">
      <c r="A383">
        <v>100382</v>
      </c>
      <c r="B383">
        <v>51646</v>
      </c>
      <c r="C383" t="s">
        <v>118</v>
      </c>
      <c r="D383" t="s">
        <v>49</v>
      </c>
      <c r="E383" t="s">
        <v>41</v>
      </c>
      <c r="F383" t="s">
        <v>44</v>
      </c>
      <c r="G383" t="s">
        <v>18</v>
      </c>
      <c r="H383">
        <v>4031</v>
      </c>
      <c r="I383">
        <v>3710.7</v>
      </c>
      <c r="J383">
        <v>3710.7</v>
      </c>
      <c r="K383">
        <v>320.3</v>
      </c>
      <c r="L383">
        <v>320.3</v>
      </c>
      <c r="M383" t="s">
        <v>19</v>
      </c>
      <c r="N383">
        <v>75</v>
      </c>
    </row>
    <row r="384" spans="1:14" x14ac:dyDescent="0.35">
      <c r="A384">
        <v>100383</v>
      </c>
      <c r="B384">
        <v>47413</v>
      </c>
      <c r="C384" t="s">
        <v>205</v>
      </c>
      <c r="D384" t="s">
        <v>65</v>
      </c>
      <c r="E384" t="s">
        <v>41</v>
      </c>
      <c r="F384" t="s">
        <v>54</v>
      </c>
      <c r="G384" t="s">
        <v>24</v>
      </c>
      <c r="H384">
        <v>4747</v>
      </c>
      <c r="I384">
        <v>3341.38</v>
      </c>
      <c r="J384">
        <v>3341.38</v>
      </c>
      <c r="K384">
        <v>1405.62</v>
      </c>
      <c r="L384">
        <v>1405.62</v>
      </c>
      <c r="M384" t="s">
        <v>19</v>
      </c>
      <c r="N384">
        <v>61</v>
      </c>
    </row>
    <row r="385" spans="1:14" x14ac:dyDescent="0.35">
      <c r="A385">
        <v>100384</v>
      </c>
      <c r="B385">
        <v>82495</v>
      </c>
      <c r="C385" t="s">
        <v>342</v>
      </c>
      <c r="D385" t="s">
        <v>49</v>
      </c>
      <c r="E385" t="s">
        <v>16</v>
      </c>
      <c r="F385" t="s">
        <v>32</v>
      </c>
      <c r="G385" t="s">
        <v>45</v>
      </c>
      <c r="H385">
        <v>2112</v>
      </c>
      <c r="I385">
        <v>1833.25</v>
      </c>
      <c r="J385">
        <v>1833.25</v>
      </c>
      <c r="K385">
        <v>278.75</v>
      </c>
      <c r="L385">
        <v>278.75</v>
      </c>
      <c r="M385" t="s">
        <v>19</v>
      </c>
      <c r="N385">
        <v>83</v>
      </c>
    </row>
    <row r="386" spans="1:14" x14ac:dyDescent="0.35">
      <c r="A386">
        <v>100385</v>
      </c>
      <c r="B386">
        <v>34067</v>
      </c>
      <c r="C386" t="s">
        <v>170</v>
      </c>
      <c r="D386" t="s">
        <v>30</v>
      </c>
      <c r="E386" t="s">
        <v>43</v>
      </c>
      <c r="F386" t="s">
        <v>17</v>
      </c>
      <c r="G386" t="s">
        <v>47</v>
      </c>
      <c r="H386">
        <v>23233</v>
      </c>
      <c r="I386">
        <v>15375.54</v>
      </c>
      <c r="J386">
        <v>15375.54</v>
      </c>
      <c r="K386">
        <v>7857.46</v>
      </c>
      <c r="L386">
        <v>7857.46</v>
      </c>
      <c r="M386" t="s">
        <v>19</v>
      </c>
      <c r="N386">
        <v>78</v>
      </c>
    </row>
    <row r="387" spans="1:14" x14ac:dyDescent="0.35">
      <c r="A387">
        <v>100386</v>
      </c>
      <c r="B387">
        <v>69311</v>
      </c>
      <c r="C387" t="s">
        <v>343</v>
      </c>
      <c r="D387" t="s">
        <v>34</v>
      </c>
      <c r="E387" t="s">
        <v>22</v>
      </c>
      <c r="F387" t="s">
        <v>35</v>
      </c>
      <c r="G387" t="s">
        <v>28</v>
      </c>
      <c r="H387">
        <v>1984</v>
      </c>
      <c r="I387">
        <v>1348.2</v>
      </c>
      <c r="J387">
        <v>1348.2</v>
      </c>
      <c r="K387">
        <v>635.79999999999995</v>
      </c>
      <c r="L387">
        <v>635.79999999999995</v>
      </c>
      <c r="M387" t="s">
        <v>19</v>
      </c>
      <c r="N387">
        <v>90</v>
      </c>
    </row>
    <row r="388" spans="1:14" x14ac:dyDescent="0.35">
      <c r="A388">
        <v>100387</v>
      </c>
      <c r="B388">
        <v>92582</v>
      </c>
      <c r="C388" t="s">
        <v>344</v>
      </c>
      <c r="D388" t="s">
        <v>52</v>
      </c>
      <c r="E388" t="s">
        <v>41</v>
      </c>
      <c r="F388" t="s">
        <v>54</v>
      </c>
      <c r="G388" t="s">
        <v>24</v>
      </c>
      <c r="H388">
        <v>19790</v>
      </c>
      <c r="I388">
        <v>16349.13</v>
      </c>
      <c r="J388">
        <v>0</v>
      </c>
      <c r="K388">
        <v>3440.87</v>
      </c>
      <c r="L388">
        <v>19790</v>
      </c>
      <c r="M388" t="s">
        <v>62</v>
      </c>
      <c r="N388">
        <v>152</v>
      </c>
    </row>
    <row r="389" spans="1:14" x14ac:dyDescent="0.35">
      <c r="A389">
        <v>100388</v>
      </c>
      <c r="B389">
        <v>95913</v>
      </c>
      <c r="C389" t="s">
        <v>345</v>
      </c>
      <c r="D389" t="s">
        <v>21</v>
      </c>
      <c r="E389" t="s">
        <v>37</v>
      </c>
      <c r="F389" t="s">
        <v>32</v>
      </c>
      <c r="G389" t="s">
        <v>18</v>
      </c>
      <c r="H389">
        <v>22612</v>
      </c>
      <c r="I389">
        <v>12911.41</v>
      </c>
      <c r="J389">
        <v>12911.41</v>
      </c>
      <c r="K389">
        <v>9700.59</v>
      </c>
      <c r="L389">
        <v>9700.59</v>
      </c>
      <c r="M389" t="s">
        <v>19</v>
      </c>
      <c r="N389">
        <v>150</v>
      </c>
    </row>
    <row r="390" spans="1:14" x14ac:dyDescent="0.35">
      <c r="A390">
        <v>100389</v>
      </c>
      <c r="B390">
        <v>99225</v>
      </c>
      <c r="C390" t="s">
        <v>125</v>
      </c>
      <c r="D390" t="s">
        <v>30</v>
      </c>
      <c r="E390" t="s">
        <v>26</v>
      </c>
      <c r="F390" t="s">
        <v>32</v>
      </c>
      <c r="G390" t="s">
        <v>18</v>
      </c>
      <c r="H390">
        <v>23235</v>
      </c>
      <c r="I390">
        <v>17721.95</v>
      </c>
      <c r="J390">
        <v>11469.05</v>
      </c>
      <c r="K390">
        <v>5513.05</v>
      </c>
      <c r="L390">
        <v>11765.95</v>
      </c>
      <c r="M390" t="s">
        <v>39</v>
      </c>
      <c r="N390">
        <v>77</v>
      </c>
    </row>
    <row r="391" spans="1:14" x14ac:dyDescent="0.35">
      <c r="A391">
        <v>100390</v>
      </c>
      <c r="B391">
        <v>36748</v>
      </c>
      <c r="C391" t="s">
        <v>346</v>
      </c>
      <c r="D391" t="s">
        <v>21</v>
      </c>
      <c r="E391" t="s">
        <v>37</v>
      </c>
      <c r="F391" t="s">
        <v>61</v>
      </c>
      <c r="G391" t="s">
        <v>45</v>
      </c>
      <c r="H391">
        <v>19527</v>
      </c>
      <c r="I391">
        <v>17243.25</v>
      </c>
      <c r="J391">
        <v>17243.25</v>
      </c>
      <c r="K391">
        <v>2283.75</v>
      </c>
      <c r="L391">
        <v>2283.75</v>
      </c>
      <c r="M391" t="s">
        <v>19</v>
      </c>
      <c r="N391">
        <v>117</v>
      </c>
    </row>
    <row r="392" spans="1:14" x14ac:dyDescent="0.35">
      <c r="A392">
        <v>100391</v>
      </c>
      <c r="B392">
        <v>46303</v>
      </c>
      <c r="C392" t="s">
        <v>347</v>
      </c>
      <c r="D392" t="s">
        <v>49</v>
      </c>
      <c r="E392" t="s">
        <v>26</v>
      </c>
      <c r="F392" t="s">
        <v>27</v>
      </c>
      <c r="G392" t="s">
        <v>18</v>
      </c>
      <c r="H392">
        <v>10257</v>
      </c>
      <c r="I392">
        <v>9123.6200000000008</v>
      </c>
      <c r="J392">
        <v>9123.6200000000008</v>
      </c>
      <c r="K392">
        <v>1133.3800000000001</v>
      </c>
      <c r="L392">
        <v>1133.3800000000001</v>
      </c>
      <c r="M392" t="s">
        <v>19</v>
      </c>
      <c r="N392">
        <v>35</v>
      </c>
    </row>
    <row r="393" spans="1:14" x14ac:dyDescent="0.35">
      <c r="A393">
        <v>100392</v>
      </c>
      <c r="B393">
        <v>58996</v>
      </c>
      <c r="C393" t="s">
        <v>348</v>
      </c>
      <c r="D393" t="s">
        <v>65</v>
      </c>
      <c r="E393" t="s">
        <v>31</v>
      </c>
      <c r="F393" t="s">
        <v>23</v>
      </c>
      <c r="G393" t="s">
        <v>24</v>
      </c>
      <c r="H393">
        <v>20698</v>
      </c>
      <c r="I393">
        <v>15219.78</v>
      </c>
      <c r="J393">
        <v>6378.36</v>
      </c>
      <c r="K393">
        <v>5478.22</v>
      </c>
      <c r="L393">
        <v>14319.64</v>
      </c>
      <c r="M393" t="s">
        <v>39</v>
      </c>
      <c r="N393">
        <v>128</v>
      </c>
    </row>
    <row r="394" spans="1:14" x14ac:dyDescent="0.35">
      <c r="A394">
        <v>100393</v>
      </c>
      <c r="B394">
        <v>58227</v>
      </c>
      <c r="C394" t="s">
        <v>179</v>
      </c>
      <c r="D394" t="s">
        <v>52</v>
      </c>
      <c r="E394" t="s">
        <v>22</v>
      </c>
      <c r="F394" t="s">
        <v>44</v>
      </c>
      <c r="G394" t="s">
        <v>24</v>
      </c>
      <c r="H394">
        <v>9936</v>
      </c>
      <c r="I394">
        <v>6651.74</v>
      </c>
      <c r="J394">
        <v>6651.74</v>
      </c>
      <c r="K394">
        <v>3284.26</v>
      </c>
      <c r="L394">
        <v>3284.26</v>
      </c>
      <c r="M394" t="s">
        <v>19</v>
      </c>
      <c r="N394">
        <v>65</v>
      </c>
    </row>
    <row r="395" spans="1:14" x14ac:dyDescent="0.35">
      <c r="A395">
        <v>100394</v>
      </c>
      <c r="B395">
        <v>18057</v>
      </c>
      <c r="C395" t="s">
        <v>114</v>
      </c>
      <c r="D395" t="s">
        <v>15</v>
      </c>
      <c r="E395" t="s">
        <v>43</v>
      </c>
      <c r="F395" t="s">
        <v>27</v>
      </c>
      <c r="G395" t="s">
        <v>18</v>
      </c>
      <c r="H395">
        <v>6638</v>
      </c>
      <c r="I395">
        <v>4834.6499999999996</v>
      </c>
      <c r="J395">
        <v>4834.6499999999996</v>
      </c>
      <c r="K395">
        <v>1803.35</v>
      </c>
      <c r="L395">
        <v>1803.35</v>
      </c>
      <c r="M395" t="s">
        <v>19</v>
      </c>
      <c r="N395">
        <v>44</v>
      </c>
    </row>
    <row r="396" spans="1:14" x14ac:dyDescent="0.35">
      <c r="A396">
        <v>100395</v>
      </c>
      <c r="B396">
        <v>19555</v>
      </c>
      <c r="C396" t="s">
        <v>349</v>
      </c>
      <c r="D396" t="s">
        <v>30</v>
      </c>
      <c r="E396" t="s">
        <v>37</v>
      </c>
      <c r="F396" t="s">
        <v>35</v>
      </c>
      <c r="G396" t="s">
        <v>38</v>
      </c>
      <c r="H396">
        <v>7294</v>
      </c>
      <c r="I396">
        <v>5819.57</v>
      </c>
      <c r="J396">
        <v>5819.57</v>
      </c>
      <c r="K396">
        <v>1474.43</v>
      </c>
      <c r="L396">
        <v>1474.43</v>
      </c>
      <c r="M396" t="s">
        <v>19</v>
      </c>
      <c r="N396">
        <v>8</v>
      </c>
    </row>
    <row r="397" spans="1:14" x14ac:dyDescent="0.35">
      <c r="A397">
        <v>100396</v>
      </c>
      <c r="B397">
        <v>45295</v>
      </c>
      <c r="C397" t="s">
        <v>350</v>
      </c>
      <c r="D397" t="s">
        <v>34</v>
      </c>
      <c r="E397" t="s">
        <v>22</v>
      </c>
      <c r="F397" t="s">
        <v>32</v>
      </c>
      <c r="G397" t="s">
        <v>47</v>
      </c>
      <c r="H397">
        <v>16726</v>
      </c>
      <c r="I397">
        <v>15263.45</v>
      </c>
      <c r="J397">
        <v>15263.45</v>
      </c>
      <c r="K397">
        <v>1462.55</v>
      </c>
      <c r="L397">
        <v>1462.55</v>
      </c>
      <c r="M397" t="s">
        <v>19</v>
      </c>
      <c r="N397">
        <v>11</v>
      </c>
    </row>
    <row r="398" spans="1:14" x14ac:dyDescent="0.35">
      <c r="A398">
        <v>100397</v>
      </c>
      <c r="B398">
        <v>36212</v>
      </c>
      <c r="C398" t="s">
        <v>278</v>
      </c>
      <c r="D398" t="s">
        <v>21</v>
      </c>
      <c r="E398" t="s">
        <v>16</v>
      </c>
      <c r="F398" t="s">
        <v>61</v>
      </c>
      <c r="G398" t="s">
        <v>38</v>
      </c>
      <c r="H398">
        <v>21476</v>
      </c>
      <c r="I398">
        <v>14470.94</v>
      </c>
      <c r="J398">
        <v>14470.94</v>
      </c>
      <c r="K398">
        <v>7005.06</v>
      </c>
      <c r="L398">
        <v>7005.06</v>
      </c>
      <c r="M398" t="s">
        <v>19</v>
      </c>
      <c r="N398">
        <v>91</v>
      </c>
    </row>
    <row r="399" spans="1:14" x14ac:dyDescent="0.35">
      <c r="A399">
        <v>100398</v>
      </c>
      <c r="B399">
        <v>27877</v>
      </c>
      <c r="C399" t="s">
        <v>311</v>
      </c>
      <c r="D399" t="s">
        <v>30</v>
      </c>
      <c r="E399" t="s">
        <v>31</v>
      </c>
      <c r="F399" t="s">
        <v>44</v>
      </c>
      <c r="G399" t="s">
        <v>18</v>
      </c>
      <c r="H399">
        <v>17441</v>
      </c>
      <c r="I399">
        <v>12233.2</v>
      </c>
      <c r="J399">
        <v>9463.49</v>
      </c>
      <c r="K399">
        <v>5207.8</v>
      </c>
      <c r="L399">
        <v>7977.51</v>
      </c>
      <c r="M399" t="s">
        <v>39</v>
      </c>
      <c r="N399">
        <v>154</v>
      </c>
    </row>
    <row r="400" spans="1:14" x14ac:dyDescent="0.35">
      <c r="A400">
        <v>100399</v>
      </c>
      <c r="B400">
        <v>15483</v>
      </c>
      <c r="C400" t="s">
        <v>351</v>
      </c>
      <c r="D400" t="s">
        <v>21</v>
      </c>
      <c r="E400" t="s">
        <v>26</v>
      </c>
      <c r="F400" t="s">
        <v>27</v>
      </c>
      <c r="G400" t="s">
        <v>47</v>
      </c>
      <c r="H400">
        <v>15790</v>
      </c>
      <c r="I400">
        <v>14945.73</v>
      </c>
      <c r="J400">
        <v>9672.39</v>
      </c>
      <c r="K400">
        <v>844.27</v>
      </c>
      <c r="L400">
        <v>6117.61</v>
      </c>
      <c r="M400" t="s">
        <v>39</v>
      </c>
      <c r="N400">
        <v>127</v>
      </c>
    </row>
    <row r="401" spans="1:14" x14ac:dyDescent="0.35">
      <c r="A401">
        <v>100400</v>
      </c>
      <c r="B401">
        <v>51467</v>
      </c>
      <c r="C401" t="s">
        <v>352</v>
      </c>
      <c r="D401" t="s">
        <v>49</v>
      </c>
      <c r="E401" t="s">
        <v>41</v>
      </c>
      <c r="F401" t="s">
        <v>35</v>
      </c>
      <c r="G401" t="s">
        <v>18</v>
      </c>
      <c r="H401">
        <v>1150</v>
      </c>
      <c r="I401">
        <v>789.9</v>
      </c>
      <c r="J401">
        <v>646.35</v>
      </c>
      <c r="K401">
        <v>360.1</v>
      </c>
      <c r="L401">
        <v>503.65</v>
      </c>
      <c r="M401" t="s">
        <v>39</v>
      </c>
      <c r="N401">
        <v>44</v>
      </c>
    </row>
    <row r="402" spans="1:14" x14ac:dyDescent="0.35">
      <c r="A402">
        <v>100401</v>
      </c>
      <c r="B402">
        <v>20213</v>
      </c>
      <c r="C402" t="s">
        <v>353</v>
      </c>
      <c r="D402" t="s">
        <v>52</v>
      </c>
      <c r="E402" t="s">
        <v>31</v>
      </c>
      <c r="F402" t="s">
        <v>61</v>
      </c>
      <c r="G402" t="s">
        <v>47</v>
      </c>
      <c r="H402">
        <v>24499</v>
      </c>
      <c r="I402">
        <v>14902.47</v>
      </c>
      <c r="J402">
        <v>14902.47</v>
      </c>
      <c r="K402">
        <v>9596.5300000000007</v>
      </c>
      <c r="L402">
        <v>9596.5300000000007</v>
      </c>
      <c r="M402" t="s">
        <v>19</v>
      </c>
      <c r="N402">
        <v>176</v>
      </c>
    </row>
    <row r="403" spans="1:14" x14ac:dyDescent="0.35">
      <c r="A403">
        <v>100402</v>
      </c>
      <c r="B403">
        <v>69524</v>
      </c>
      <c r="C403" t="s">
        <v>77</v>
      </c>
      <c r="D403" t="s">
        <v>34</v>
      </c>
      <c r="E403" t="s">
        <v>43</v>
      </c>
      <c r="F403" t="s">
        <v>27</v>
      </c>
      <c r="G403" t="s">
        <v>45</v>
      </c>
      <c r="H403">
        <v>8237</v>
      </c>
      <c r="I403">
        <v>7795.22</v>
      </c>
      <c r="J403">
        <v>6079.21</v>
      </c>
      <c r="K403">
        <v>441.78</v>
      </c>
      <c r="L403">
        <v>2157.79</v>
      </c>
      <c r="M403" t="s">
        <v>39</v>
      </c>
      <c r="N403">
        <v>13</v>
      </c>
    </row>
    <row r="404" spans="1:14" x14ac:dyDescent="0.35">
      <c r="A404">
        <v>100403</v>
      </c>
      <c r="B404">
        <v>84245</v>
      </c>
      <c r="C404" t="s">
        <v>131</v>
      </c>
      <c r="D404" t="s">
        <v>15</v>
      </c>
      <c r="E404" t="s">
        <v>31</v>
      </c>
      <c r="F404" t="s">
        <v>61</v>
      </c>
      <c r="G404" t="s">
        <v>24</v>
      </c>
      <c r="H404">
        <v>5196</v>
      </c>
      <c r="I404">
        <v>2928.95</v>
      </c>
      <c r="J404">
        <v>2928.95</v>
      </c>
      <c r="K404">
        <v>2267.0500000000002</v>
      </c>
      <c r="L404">
        <v>2267.0500000000002</v>
      </c>
      <c r="M404" t="s">
        <v>19</v>
      </c>
      <c r="N404">
        <v>17</v>
      </c>
    </row>
    <row r="405" spans="1:14" x14ac:dyDescent="0.35">
      <c r="A405">
        <v>100404</v>
      </c>
      <c r="B405">
        <v>84810</v>
      </c>
      <c r="C405" t="s">
        <v>354</v>
      </c>
      <c r="D405" t="s">
        <v>49</v>
      </c>
      <c r="E405" t="s">
        <v>22</v>
      </c>
      <c r="F405" t="s">
        <v>32</v>
      </c>
      <c r="G405" t="s">
        <v>45</v>
      </c>
      <c r="H405">
        <v>8236</v>
      </c>
      <c r="I405">
        <v>4633.5</v>
      </c>
      <c r="J405">
        <v>4633.5</v>
      </c>
      <c r="K405">
        <v>3602.5</v>
      </c>
      <c r="L405">
        <v>3602.5</v>
      </c>
      <c r="M405" t="s">
        <v>19</v>
      </c>
      <c r="N405">
        <v>101</v>
      </c>
    </row>
    <row r="406" spans="1:14" x14ac:dyDescent="0.35">
      <c r="A406">
        <v>100405</v>
      </c>
      <c r="B406">
        <v>36081</v>
      </c>
      <c r="C406" t="s">
        <v>263</v>
      </c>
      <c r="D406" t="s">
        <v>52</v>
      </c>
      <c r="E406" t="s">
        <v>31</v>
      </c>
      <c r="F406" t="s">
        <v>54</v>
      </c>
      <c r="G406" t="s">
        <v>72</v>
      </c>
      <c r="H406">
        <v>21596</v>
      </c>
      <c r="I406">
        <v>12301.45</v>
      </c>
      <c r="J406">
        <v>0</v>
      </c>
      <c r="K406">
        <v>9294.5499999999993</v>
      </c>
      <c r="L406">
        <v>21596</v>
      </c>
      <c r="M406" t="s">
        <v>62</v>
      </c>
      <c r="N406">
        <v>83</v>
      </c>
    </row>
    <row r="407" spans="1:14" x14ac:dyDescent="0.35">
      <c r="A407">
        <v>100406</v>
      </c>
      <c r="B407">
        <v>26485</v>
      </c>
      <c r="C407" t="s">
        <v>343</v>
      </c>
      <c r="D407" t="s">
        <v>49</v>
      </c>
      <c r="E407" t="s">
        <v>43</v>
      </c>
      <c r="F407" t="s">
        <v>32</v>
      </c>
      <c r="G407" t="s">
        <v>45</v>
      </c>
      <c r="H407">
        <v>19098</v>
      </c>
      <c r="I407">
        <v>15070.76</v>
      </c>
      <c r="J407">
        <v>15070.76</v>
      </c>
      <c r="K407">
        <v>4027.24</v>
      </c>
      <c r="L407">
        <v>4027.24</v>
      </c>
      <c r="M407" t="s">
        <v>19</v>
      </c>
      <c r="N407">
        <v>124</v>
      </c>
    </row>
    <row r="408" spans="1:14" x14ac:dyDescent="0.35">
      <c r="A408">
        <v>100407</v>
      </c>
      <c r="B408">
        <v>34858</v>
      </c>
      <c r="C408" t="s">
        <v>328</v>
      </c>
      <c r="D408" t="s">
        <v>52</v>
      </c>
      <c r="E408" t="s">
        <v>37</v>
      </c>
      <c r="F408" t="s">
        <v>54</v>
      </c>
      <c r="G408" t="s">
        <v>45</v>
      </c>
      <c r="H408">
        <v>22325</v>
      </c>
      <c r="I408">
        <v>18351.060000000001</v>
      </c>
      <c r="J408">
        <v>18351.060000000001</v>
      </c>
      <c r="K408">
        <v>3973.94</v>
      </c>
      <c r="L408">
        <v>3973.94</v>
      </c>
      <c r="M408" t="s">
        <v>19</v>
      </c>
      <c r="N408">
        <v>68</v>
      </c>
    </row>
    <row r="409" spans="1:14" x14ac:dyDescent="0.35">
      <c r="A409">
        <v>100408</v>
      </c>
      <c r="B409">
        <v>37200</v>
      </c>
      <c r="C409" t="s">
        <v>355</v>
      </c>
      <c r="D409" t="s">
        <v>15</v>
      </c>
      <c r="E409" t="s">
        <v>16</v>
      </c>
      <c r="F409" t="s">
        <v>35</v>
      </c>
      <c r="G409" t="s">
        <v>72</v>
      </c>
      <c r="H409">
        <v>8221</v>
      </c>
      <c r="I409">
        <v>5220.88</v>
      </c>
      <c r="J409">
        <v>0</v>
      </c>
      <c r="K409">
        <v>3000.12</v>
      </c>
      <c r="L409">
        <v>8221</v>
      </c>
      <c r="M409" t="s">
        <v>62</v>
      </c>
      <c r="N409">
        <v>166</v>
      </c>
    </row>
    <row r="410" spans="1:14" x14ac:dyDescent="0.35">
      <c r="A410">
        <v>100409</v>
      </c>
      <c r="B410">
        <v>24420</v>
      </c>
      <c r="C410" t="s">
        <v>137</v>
      </c>
      <c r="D410" t="s">
        <v>65</v>
      </c>
      <c r="E410" t="s">
        <v>43</v>
      </c>
      <c r="F410" t="s">
        <v>27</v>
      </c>
      <c r="G410" t="s">
        <v>47</v>
      </c>
      <c r="H410">
        <v>17809</v>
      </c>
      <c r="I410">
        <v>14627.36</v>
      </c>
      <c r="J410">
        <v>14627.36</v>
      </c>
      <c r="K410">
        <v>3181.64</v>
      </c>
      <c r="L410">
        <v>3181.64</v>
      </c>
      <c r="M410" t="s">
        <v>19</v>
      </c>
      <c r="N410">
        <v>153</v>
      </c>
    </row>
    <row r="411" spans="1:14" x14ac:dyDescent="0.35">
      <c r="A411">
        <v>100410</v>
      </c>
      <c r="B411">
        <v>65655</v>
      </c>
      <c r="C411" t="s">
        <v>356</v>
      </c>
      <c r="D411" t="s">
        <v>15</v>
      </c>
      <c r="E411" t="s">
        <v>22</v>
      </c>
      <c r="F411" t="s">
        <v>32</v>
      </c>
      <c r="G411" t="s">
        <v>18</v>
      </c>
      <c r="H411">
        <v>7050</v>
      </c>
      <c r="I411">
        <v>5385.89</v>
      </c>
      <c r="J411">
        <v>5385.89</v>
      </c>
      <c r="K411">
        <v>1664.11</v>
      </c>
      <c r="L411">
        <v>1664.11</v>
      </c>
      <c r="M411" t="s">
        <v>19</v>
      </c>
      <c r="N411">
        <v>146</v>
      </c>
    </row>
    <row r="412" spans="1:14" x14ac:dyDescent="0.35">
      <c r="A412">
        <v>100411</v>
      </c>
      <c r="B412">
        <v>56626</v>
      </c>
      <c r="C412" t="s">
        <v>357</v>
      </c>
      <c r="D412" t="s">
        <v>15</v>
      </c>
      <c r="E412" t="s">
        <v>31</v>
      </c>
      <c r="F412" t="s">
        <v>61</v>
      </c>
      <c r="G412" t="s">
        <v>72</v>
      </c>
      <c r="H412">
        <v>13254</v>
      </c>
      <c r="I412">
        <v>12307.3</v>
      </c>
      <c r="J412">
        <v>12307.3</v>
      </c>
      <c r="K412">
        <v>946.7</v>
      </c>
      <c r="L412">
        <v>946.7</v>
      </c>
      <c r="M412" t="s">
        <v>19</v>
      </c>
      <c r="N412">
        <v>145</v>
      </c>
    </row>
    <row r="413" spans="1:14" x14ac:dyDescent="0.35">
      <c r="A413">
        <v>100412</v>
      </c>
      <c r="B413">
        <v>70193</v>
      </c>
      <c r="C413" t="s">
        <v>358</v>
      </c>
      <c r="D413" t="s">
        <v>52</v>
      </c>
      <c r="E413" t="s">
        <v>26</v>
      </c>
      <c r="F413" t="s">
        <v>27</v>
      </c>
      <c r="G413" t="s">
        <v>45</v>
      </c>
      <c r="H413">
        <v>7641</v>
      </c>
      <c r="I413">
        <v>6459.22</v>
      </c>
      <c r="J413">
        <v>5650.3</v>
      </c>
      <c r="K413">
        <v>1181.78</v>
      </c>
      <c r="L413">
        <v>1990.7</v>
      </c>
      <c r="M413" t="s">
        <v>39</v>
      </c>
      <c r="N413">
        <v>19</v>
      </c>
    </row>
    <row r="414" spans="1:14" x14ac:dyDescent="0.35">
      <c r="A414">
        <v>100413</v>
      </c>
      <c r="B414">
        <v>71505</v>
      </c>
      <c r="C414" t="s">
        <v>78</v>
      </c>
      <c r="D414" t="s">
        <v>30</v>
      </c>
      <c r="E414" t="s">
        <v>26</v>
      </c>
      <c r="F414" t="s">
        <v>61</v>
      </c>
      <c r="G414" t="s">
        <v>45</v>
      </c>
      <c r="H414">
        <v>257</v>
      </c>
      <c r="I414">
        <v>215.15</v>
      </c>
      <c r="J414">
        <v>86.85</v>
      </c>
      <c r="K414">
        <v>41.85</v>
      </c>
      <c r="L414">
        <v>170.15</v>
      </c>
      <c r="M414" t="s">
        <v>39</v>
      </c>
      <c r="N414">
        <v>100</v>
      </c>
    </row>
    <row r="415" spans="1:14" x14ac:dyDescent="0.35">
      <c r="A415">
        <v>100414</v>
      </c>
      <c r="B415">
        <v>77493</v>
      </c>
      <c r="C415" t="s">
        <v>335</v>
      </c>
      <c r="D415" t="s">
        <v>34</v>
      </c>
      <c r="E415" t="s">
        <v>26</v>
      </c>
      <c r="F415" t="s">
        <v>23</v>
      </c>
      <c r="G415" t="s">
        <v>45</v>
      </c>
      <c r="H415">
        <v>19506</v>
      </c>
      <c r="I415">
        <v>11143.72</v>
      </c>
      <c r="J415">
        <v>11143.72</v>
      </c>
      <c r="K415">
        <v>8362.2800000000007</v>
      </c>
      <c r="L415">
        <v>8362.2800000000007</v>
      </c>
      <c r="M415" t="s">
        <v>19</v>
      </c>
      <c r="N415">
        <v>56</v>
      </c>
    </row>
    <row r="416" spans="1:14" x14ac:dyDescent="0.35">
      <c r="A416">
        <v>100415</v>
      </c>
      <c r="B416">
        <v>92667</v>
      </c>
      <c r="C416" t="s">
        <v>359</v>
      </c>
      <c r="D416" t="s">
        <v>65</v>
      </c>
      <c r="E416" t="s">
        <v>56</v>
      </c>
      <c r="F416" t="s">
        <v>17</v>
      </c>
      <c r="G416" t="s">
        <v>38</v>
      </c>
      <c r="H416">
        <v>20257</v>
      </c>
      <c r="I416">
        <v>18090.009999999998</v>
      </c>
      <c r="J416">
        <v>15014.49</v>
      </c>
      <c r="K416">
        <v>2166.9899999999998</v>
      </c>
      <c r="L416">
        <v>5242.51</v>
      </c>
      <c r="M416" t="s">
        <v>39</v>
      </c>
      <c r="N416">
        <v>139</v>
      </c>
    </row>
    <row r="417" spans="1:14" x14ac:dyDescent="0.35">
      <c r="A417">
        <v>100416</v>
      </c>
      <c r="B417">
        <v>10024</v>
      </c>
      <c r="C417" t="s">
        <v>360</v>
      </c>
      <c r="D417" t="s">
        <v>30</v>
      </c>
      <c r="E417" t="s">
        <v>16</v>
      </c>
      <c r="F417" t="s">
        <v>27</v>
      </c>
      <c r="G417" t="s">
        <v>38</v>
      </c>
      <c r="H417">
        <v>21875</v>
      </c>
      <c r="I417">
        <v>14320.77</v>
      </c>
      <c r="J417">
        <v>9736.7099999999991</v>
      </c>
      <c r="K417">
        <v>7554.23</v>
      </c>
      <c r="L417">
        <v>12138.29</v>
      </c>
      <c r="M417" t="s">
        <v>39</v>
      </c>
      <c r="N417">
        <v>24</v>
      </c>
    </row>
    <row r="418" spans="1:14" x14ac:dyDescent="0.35">
      <c r="A418">
        <v>100417</v>
      </c>
      <c r="B418">
        <v>97282</v>
      </c>
      <c r="C418" t="s">
        <v>361</v>
      </c>
      <c r="D418" t="s">
        <v>30</v>
      </c>
      <c r="E418" t="s">
        <v>26</v>
      </c>
      <c r="F418" t="s">
        <v>17</v>
      </c>
      <c r="G418" t="s">
        <v>24</v>
      </c>
      <c r="H418">
        <v>3394</v>
      </c>
      <c r="I418">
        <v>2918.12</v>
      </c>
      <c r="J418">
        <v>2918.12</v>
      </c>
      <c r="K418">
        <v>475.88</v>
      </c>
      <c r="L418">
        <v>475.88</v>
      </c>
      <c r="M418" t="s">
        <v>19</v>
      </c>
      <c r="N418">
        <v>7</v>
      </c>
    </row>
    <row r="419" spans="1:14" x14ac:dyDescent="0.35">
      <c r="A419">
        <v>100418</v>
      </c>
      <c r="B419">
        <v>52717</v>
      </c>
      <c r="C419" t="s">
        <v>105</v>
      </c>
      <c r="D419" t="s">
        <v>21</v>
      </c>
      <c r="E419" t="s">
        <v>56</v>
      </c>
      <c r="F419" t="s">
        <v>27</v>
      </c>
      <c r="G419" t="s">
        <v>72</v>
      </c>
      <c r="H419">
        <v>9710</v>
      </c>
      <c r="I419">
        <v>7718.7</v>
      </c>
      <c r="J419">
        <v>7718.7</v>
      </c>
      <c r="K419">
        <v>1991.3</v>
      </c>
      <c r="L419">
        <v>1991.3</v>
      </c>
      <c r="M419" t="s">
        <v>19</v>
      </c>
      <c r="N419">
        <v>99</v>
      </c>
    </row>
    <row r="420" spans="1:14" x14ac:dyDescent="0.35">
      <c r="A420">
        <v>100419</v>
      </c>
      <c r="B420">
        <v>45632</v>
      </c>
      <c r="C420" t="s">
        <v>362</v>
      </c>
      <c r="D420" t="s">
        <v>52</v>
      </c>
      <c r="E420" t="s">
        <v>41</v>
      </c>
      <c r="F420" t="s">
        <v>23</v>
      </c>
      <c r="G420" t="s">
        <v>28</v>
      </c>
      <c r="H420">
        <v>20022</v>
      </c>
      <c r="I420">
        <v>11216.68</v>
      </c>
      <c r="J420">
        <v>0</v>
      </c>
      <c r="K420">
        <v>8805.32</v>
      </c>
      <c r="L420">
        <v>20022</v>
      </c>
      <c r="M420" t="s">
        <v>62</v>
      </c>
      <c r="N420">
        <v>108</v>
      </c>
    </row>
    <row r="421" spans="1:14" x14ac:dyDescent="0.35">
      <c r="A421">
        <v>100420</v>
      </c>
      <c r="B421">
        <v>71789</v>
      </c>
      <c r="C421" t="s">
        <v>306</v>
      </c>
      <c r="D421" t="s">
        <v>30</v>
      </c>
      <c r="E421" t="s">
        <v>26</v>
      </c>
      <c r="F421" t="s">
        <v>17</v>
      </c>
      <c r="G421" t="s">
        <v>45</v>
      </c>
      <c r="H421">
        <v>21266</v>
      </c>
      <c r="I421">
        <v>19653.72</v>
      </c>
      <c r="J421">
        <v>0</v>
      </c>
      <c r="K421">
        <v>1612.28</v>
      </c>
      <c r="L421">
        <v>21266</v>
      </c>
      <c r="M421" t="s">
        <v>62</v>
      </c>
      <c r="N421">
        <v>26</v>
      </c>
    </row>
    <row r="422" spans="1:14" x14ac:dyDescent="0.35">
      <c r="A422">
        <v>100421</v>
      </c>
      <c r="B422">
        <v>97286</v>
      </c>
      <c r="C422" t="s">
        <v>363</v>
      </c>
      <c r="D422" t="s">
        <v>52</v>
      </c>
      <c r="E422" t="s">
        <v>26</v>
      </c>
      <c r="F422" t="s">
        <v>32</v>
      </c>
      <c r="G422" t="s">
        <v>38</v>
      </c>
      <c r="H422">
        <v>12732</v>
      </c>
      <c r="I422">
        <v>11380.45</v>
      </c>
      <c r="J422">
        <v>2128.3200000000002</v>
      </c>
      <c r="K422">
        <v>1351.55</v>
      </c>
      <c r="L422">
        <v>10603.68</v>
      </c>
      <c r="M422" t="s">
        <v>50</v>
      </c>
      <c r="N422">
        <v>155</v>
      </c>
    </row>
    <row r="423" spans="1:14" x14ac:dyDescent="0.35">
      <c r="A423">
        <v>100422</v>
      </c>
      <c r="B423">
        <v>25399</v>
      </c>
      <c r="C423" t="s">
        <v>144</v>
      </c>
      <c r="D423" t="s">
        <v>49</v>
      </c>
      <c r="E423" t="s">
        <v>41</v>
      </c>
      <c r="F423" t="s">
        <v>32</v>
      </c>
      <c r="G423" t="s">
        <v>28</v>
      </c>
      <c r="H423">
        <v>6518</v>
      </c>
      <c r="I423">
        <v>4763.51</v>
      </c>
      <c r="J423">
        <v>4763.51</v>
      </c>
      <c r="K423">
        <v>1754.49</v>
      </c>
      <c r="L423">
        <v>1754.49</v>
      </c>
      <c r="M423" t="s">
        <v>19</v>
      </c>
      <c r="N423">
        <v>169</v>
      </c>
    </row>
    <row r="424" spans="1:14" x14ac:dyDescent="0.35">
      <c r="A424">
        <v>100423</v>
      </c>
      <c r="B424">
        <v>11666</v>
      </c>
      <c r="C424" t="s">
        <v>217</v>
      </c>
      <c r="D424" t="s">
        <v>15</v>
      </c>
      <c r="E424" t="s">
        <v>56</v>
      </c>
      <c r="F424" t="s">
        <v>17</v>
      </c>
      <c r="G424" t="s">
        <v>72</v>
      </c>
      <c r="H424">
        <v>2947</v>
      </c>
      <c r="I424">
        <v>2416.23</v>
      </c>
      <c r="J424">
        <v>2416.23</v>
      </c>
      <c r="K424">
        <v>530.77</v>
      </c>
      <c r="L424">
        <v>530.77</v>
      </c>
      <c r="M424" t="s">
        <v>19</v>
      </c>
      <c r="N424">
        <v>149</v>
      </c>
    </row>
    <row r="425" spans="1:14" x14ac:dyDescent="0.35">
      <c r="A425">
        <v>100424</v>
      </c>
      <c r="B425">
        <v>20289</v>
      </c>
      <c r="C425" t="s">
        <v>364</v>
      </c>
      <c r="D425" t="s">
        <v>21</v>
      </c>
      <c r="E425" t="s">
        <v>41</v>
      </c>
      <c r="F425" t="s">
        <v>17</v>
      </c>
      <c r="G425" t="s">
        <v>72</v>
      </c>
      <c r="H425">
        <v>9874</v>
      </c>
      <c r="I425">
        <v>5940.7</v>
      </c>
      <c r="J425">
        <v>5940.7</v>
      </c>
      <c r="K425">
        <v>3933.3</v>
      </c>
      <c r="L425">
        <v>3933.3</v>
      </c>
      <c r="M425" t="s">
        <v>19</v>
      </c>
      <c r="N425">
        <v>128</v>
      </c>
    </row>
    <row r="426" spans="1:14" x14ac:dyDescent="0.35">
      <c r="A426">
        <v>100425</v>
      </c>
      <c r="B426">
        <v>43878</v>
      </c>
      <c r="C426" t="s">
        <v>113</v>
      </c>
      <c r="D426" t="s">
        <v>15</v>
      </c>
      <c r="E426" t="s">
        <v>56</v>
      </c>
      <c r="F426" t="s">
        <v>23</v>
      </c>
      <c r="G426" t="s">
        <v>28</v>
      </c>
      <c r="H426">
        <v>16252</v>
      </c>
      <c r="I426">
        <v>12770.05</v>
      </c>
      <c r="J426">
        <v>6400.31</v>
      </c>
      <c r="K426">
        <v>3481.95</v>
      </c>
      <c r="L426">
        <v>9851.69</v>
      </c>
      <c r="M426" t="s">
        <v>39</v>
      </c>
      <c r="N426">
        <v>109</v>
      </c>
    </row>
    <row r="427" spans="1:14" x14ac:dyDescent="0.35">
      <c r="A427">
        <v>100426</v>
      </c>
      <c r="B427">
        <v>37297</v>
      </c>
      <c r="C427" t="s">
        <v>365</v>
      </c>
      <c r="D427" t="s">
        <v>49</v>
      </c>
      <c r="E427" t="s">
        <v>16</v>
      </c>
      <c r="F427" t="s">
        <v>35</v>
      </c>
      <c r="G427" t="s">
        <v>47</v>
      </c>
      <c r="H427">
        <v>6731</v>
      </c>
      <c r="I427">
        <v>4454.03</v>
      </c>
      <c r="J427">
        <v>2866.44</v>
      </c>
      <c r="K427">
        <v>2276.9699999999998</v>
      </c>
      <c r="L427">
        <v>3864.56</v>
      </c>
      <c r="M427" t="s">
        <v>39</v>
      </c>
      <c r="N427">
        <v>135</v>
      </c>
    </row>
    <row r="428" spans="1:14" x14ac:dyDescent="0.35">
      <c r="A428">
        <v>100427</v>
      </c>
      <c r="B428">
        <v>29744</v>
      </c>
      <c r="C428" t="s">
        <v>210</v>
      </c>
      <c r="D428" t="s">
        <v>15</v>
      </c>
      <c r="E428" t="s">
        <v>56</v>
      </c>
      <c r="F428" t="s">
        <v>32</v>
      </c>
      <c r="G428" t="s">
        <v>38</v>
      </c>
      <c r="H428">
        <v>1476</v>
      </c>
      <c r="I428">
        <v>847.12</v>
      </c>
      <c r="J428">
        <v>847.12</v>
      </c>
      <c r="K428">
        <v>628.88</v>
      </c>
      <c r="L428">
        <v>628.88</v>
      </c>
      <c r="M428" t="s">
        <v>19</v>
      </c>
      <c r="N428">
        <v>133</v>
      </c>
    </row>
    <row r="429" spans="1:14" x14ac:dyDescent="0.35">
      <c r="A429">
        <v>100428</v>
      </c>
      <c r="B429">
        <v>50586</v>
      </c>
      <c r="C429" t="s">
        <v>108</v>
      </c>
      <c r="D429" t="s">
        <v>52</v>
      </c>
      <c r="E429" t="s">
        <v>37</v>
      </c>
      <c r="F429" t="s">
        <v>27</v>
      </c>
      <c r="G429" t="s">
        <v>45</v>
      </c>
      <c r="H429">
        <v>21939</v>
      </c>
      <c r="I429">
        <v>15302.63</v>
      </c>
      <c r="J429">
        <v>15302.63</v>
      </c>
      <c r="K429">
        <v>6636.37</v>
      </c>
      <c r="L429">
        <v>6636.37</v>
      </c>
      <c r="M429" t="s">
        <v>19</v>
      </c>
      <c r="N429">
        <v>91</v>
      </c>
    </row>
    <row r="430" spans="1:14" x14ac:dyDescent="0.35">
      <c r="A430">
        <v>100429</v>
      </c>
      <c r="B430">
        <v>24207</v>
      </c>
      <c r="C430" t="s">
        <v>223</v>
      </c>
      <c r="D430" t="s">
        <v>34</v>
      </c>
      <c r="E430" t="s">
        <v>31</v>
      </c>
      <c r="F430" t="s">
        <v>35</v>
      </c>
      <c r="G430" t="s">
        <v>45</v>
      </c>
      <c r="H430">
        <v>349</v>
      </c>
      <c r="I430">
        <v>200.07</v>
      </c>
      <c r="J430">
        <v>200.07</v>
      </c>
      <c r="K430">
        <v>148.93</v>
      </c>
      <c r="L430">
        <v>148.93</v>
      </c>
      <c r="M430" t="s">
        <v>19</v>
      </c>
      <c r="N430">
        <v>164</v>
      </c>
    </row>
    <row r="431" spans="1:14" x14ac:dyDescent="0.35">
      <c r="A431">
        <v>100430</v>
      </c>
      <c r="B431">
        <v>57545</v>
      </c>
      <c r="C431" t="s">
        <v>366</v>
      </c>
      <c r="D431" t="s">
        <v>49</v>
      </c>
      <c r="E431" t="s">
        <v>41</v>
      </c>
      <c r="F431" t="s">
        <v>44</v>
      </c>
      <c r="G431" t="s">
        <v>38</v>
      </c>
      <c r="H431">
        <v>11823</v>
      </c>
      <c r="I431">
        <v>10953.35</v>
      </c>
      <c r="J431">
        <v>10953.35</v>
      </c>
      <c r="K431">
        <v>869.65</v>
      </c>
      <c r="L431">
        <v>869.65</v>
      </c>
      <c r="M431" t="s">
        <v>19</v>
      </c>
      <c r="N431">
        <v>91</v>
      </c>
    </row>
    <row r="432" spans="1:14" x14ac:dyDescent="0.35">
      <c r="A432">
        <v>100431</v>
      </c>
      <c r="B432">
        <v>22404</v>
      </c>
      <c r="C432" t="s">
        <v>194</v>
      </c>
      <c r="D432" t="s">
        <v>30</v>
      </c>
      <c r="E432" t="s">
        <v>26</v>
      </c>
      <c r="F432" t="s">
        <v>54</v>
      </c>
      <c r="G432" t="s">
        <v>24</v>
      </c>
      <c r="H432">
        <v>18640</v>
      </c>
      <c r="I432">
        <v>14594.35</v>
      </c>
      <c r="J432">
        <v>14594.35</v>
      </c>
      <c r="K432">
        <v>4045.65</v>
      </c>
      <c r="L432">
        <v>4045.65</v>
      </c>
      <c r="M432" t="s">
        <v>19</v>
      </c>
      <c r="N432">
        <v>24</v>
      </c>
    </row>
    <row r="433" spans="1:14" x14ac:dyDescent="0.35">
      <c r="A433">
        <v>100432</v>
      </c>
      <c r="B433">
        <v>40842</v>
      </c>
      <c r="C433" t="s">
        <v>367</v>
      </c>
      <c r="D433" t="s">
        <v>65</v>
      </c>
      <c r="E433" t="s">
        <v>43</v>
      </c>
      <c r="F433" t="s">
        <v>23</v>
      </c>
      <c r="G433" t="s">
        <v>18</v>
      </c>
      <c r="H433">
        <v>14411</v>
      </c>
      <c r="I433">
        <v>9189.9</v>
      </c>
      <c r="J433">
        <v>9189.9</v>
      </c>
      <c r="K433">
        <v>5221.1000000000004</v>
      </c>
      <c r="L433">
        <v>5221.1000000000004</v>
      </c>
      <c r="M433" t="s">
        <v>19</v>
      </c>
      <c r="N433">
        <v>59</v>
      </c>
    </row>
    <row r="434" spans="1:14" x14ac:dyDescent="0.35">
      <c r="A434">
        <v>100433</v>
      </c>
      <c r="B434">
        <v>79191</v>
      </c>
      <c r="C434" t="s">
        <v>363</v>
      </c>
      <c r="D434" t="s">
        <v>21</v>
      </c>
      <c r="E434" t="s">
        <v>56</v>
      </c>
      <c r="F434" t="s">
        <v>17</v>
      </c>
      <c r="G434" t="s">
        <v>24</v>
      </c>
      <c r="H434">
        <v>24622</v>
      </c>
      <c r="I434">
        <v>21332.29</v>
      </c>
      <c r="J434">
        <v>21332.29</v>
      </c>
      <c r="K434">
        <v>3289.71</v>
      </c>
      <c r="L434">
        <v>3289.71</v>
      </c>
      <c r="M434" t="s">
        <v>19</v>
      </c>
      <c r="N434">
        <v>107</v>
      </c>
    </row>
    <row r="435" spans="1:14" x14ac:dyDescent="0.35">
      <c r="A435">
        <v>100434</v>
      </c>
      <c r="B435">
        <v>42573</v>
      </c>
      <c r="C435" t="s">
        <v>105</v>
      </c>
      <c r="D435" t="s">
        <v>49</v>
      </c>
      <c r="E435" t="s">
        <v>41</v>
      </c>
      <c r="F435" t="s">
        <v>17</v>
      </c>
      <c r="G435" t="s">
        <v>24</v>
      </c>
      <c r="H435">
        <v>1983</v>
      </c>
      <c r="I435">
        <v>1721.72</v>
      </c>
      <c r="J435">
        <v>1721.72</v>
      </c>
      <c r="K435">
        <v>261.27999999999997</v>
      </c>
      <c r="L435">
        <v>261.27999999999997</v>
      </c>
      <c r="M435" t="s">
        <v>19</v>
      </c>
      <c r="N435">
        <v>1</v>
      </c>
    </row>
    <row r="436" spans="1:14" x14ac:dyDescent="0.35">
      <c r="A436">
        <v>100435</v>
      </c>
      <c r="B436">
        <v>43888</v>
      </c>
      <c r="C436" t="s">
        <v>368</v>
      </c>
      <c r="D436" t="s">
        <v>30</v>
      </c>
      <c r="E436" t="s">
        <v>16</v>
      </c>
      <c r="F436" t="s">
        <v>17</v>
      </c>
      <c r="G436" t="s">
        <v>18</v>
      </c>
      <c r="H436">
        <v>4263</v>
      </c>
      <c r="I436">
        <v>3243.29</v>
      </c>
      <c r="J436">
        <v>2916.07</v>
      </c>
      <c r="K436">
        <v>1019.71</v>
      </c>
      <c r="L436">
        <v>1346.93</v>
      </c>
      <c r="M436" t="s">
        <v>39</v>
      </c>
      <c r="N436">
        <v>10</v>
      </c>
    </row>
    <row r="437" spans="1:14" x14ac:dyDescent="0.35">
      <c r="A437">
        <v>100436</v>
      </c>
      <c r="B437">
        <v>69703</v>
      </c>
      <c r="C437" t="s">
        <v>149</v>
      </c>
      <c r="D437" t="s">
        <v>52</v>
      </c>
      <c r="E437" t="s">
        <v>22</v>
      </c>
      <c r="F437" t="s">
        <v>54</v>
      </c>
      <c r="G437" t="s">
        <v>47</v>
      </c>
      <c r="H437">
        <v>24512</v>
      </c>
      <c r="I437">
        <v>19455.3</v>
      </c>
      <c r="J437">
        <v>19455.3</v>
      </c>
      <c r="K437">
        <v>5056.7</v>
      </c>
      <c r="L437">
        <v>5056.7</v>
      </c>
      <c r="M437" t="s">
        <v>19</v>
      </c>
      <c r="N437">
        <v>53</v>
      </c>
    </row>
    <row r="438" spans="1:14" x14ac:dyDescent="0.35">
      <c r="A438">
        <v>100437</v>
      </c>
      <c r="B438">
        <v>63076</v>
      </c>
      <c r="C438" t="s">
        <v>369</v>
      </c>
      <c r="D438" t="s">
        <v>65</v>
      </c>
      <c r="E438" t="s">
        <v>37</v>
      </c>
      <c r="F438" t="s">
        <v>17</v>
      </c>
      <c r="G438" t="s">
        <v>47</v>
      </c>
      <c r="H438">
        <v>18641</v>
      </c>
      <c r="I438">
        <v>17416.2</v>
      </c>
      <c r="J438">
        <v>17416.2</v>
      </c>
      <c r="K438">
        <v>1224.8</v>
      </c>
      <c r="L438">
        <v>1224.8</v>
      </c>
      <c r="M438" t="s">
        <v>19</v>
      </c>
      <c r="N438">
        <v>66</v>
      </c>
    </row>
    <row r="439" spans="1:14" x14ac:dyDescent="0.35">
      <c r="A439">
        <v>100438</v>
      </c>
      <c r="B439">
        <v>31944</v>
      </c>
      <c r="C439" t="s">
        <v>370</v>
      </c>
      <c r="D439" t="s">
        <v>21</v>
      </c>
      <c r="E439" t="s">
        <v>41</v>
      </c>
      <c r="F439" t="s">
        <v>44</v>
      </c>
      <c r="G439" t="s">
        <v>28</v>
      </c>
      <c r="H439">
        <v>8685</v>
      </c>
      <c r="I439">
        <v>5268.07</v>
      </c>
      <c r="J439">
        <v>5268.07</v>
      </c>
      <c r="K439">
        <v>3416.93</v>
      </c>
      <c r="L439">
        <v>3416.93</v>
      </c>
      <c r="M439" t="s">
        <v>19</v>
      </c>
      <c r="N439">
        <v>139</v>
      </c>
    </row>
    <row r="440" spans="1:14" x14ac:dyDescent="0.35">
      <c r="A440">
        <v>100439</v>
      </c>
      <c r="B440">
        <v>64113</v>
      </c>
      <c r="C440" t="s">
        <v>371</v>
      </c>
      <c r="D440" t="s">
        <v>34</v>
      </c>
      <c r="E440" t="s">
        <v>31</v>
      </c>
      <c r="F440" t="s">
        <v>61</v>
      </c>
      <c r="G440" t="s">
        <v>24</v>
      </c>
      <c r="H440">
        <v>1330</v>
      </c>
      <c r="I440">
        <v>1180.6600000000001</v>
      </c>
      <c r="J440">
        <v>1180.6600000000001</v>
      </c>
      <c r="K440">
        <v>149.34</v>
      </c>
      <c r="L440">
        <v>149.34</v>
      </c>
      <c r="M440" t="s">
        <v>19</v>
      </c>
      <c r="N440">
        <v>59</v>
      </c>
    </row>
    <row r="441" spans="1:14" x14ac:dyDescent="0.35">
      <c r="A441">
        <v>100440</v>
      </c>
      <c r="B441">
        <v>33483</v>
      </c>
      <c r="C441" t="s">
        <v>108</v>
      </c>
      <c r="D441" t="s">
        <v>30</v>
      </c>
      <c r="E441" t="s">
        <v>26</v>
      </c>
      <c r="F441" t="s">
        <v>35</v>
      </c>
      <c r="G441" t="s">
        <v>18</v>
      </c>
      <c r="H441">
        <v>12021</v>
      </c>
      <c r="I441">
        <v>10306.879999999999</v>
      </c>
      <c r="J441">
        <v>10306.879999999999</v>
      </c>
      <c r="K441">
        <v>1714.12</v>
      </c>
      <c r="L441">
        <v>1714.12</v>
      </c>
      <c r="M441" t="s">
        <v>19</v>
      </c>
      <c r="N441">
        <v>47</v>
      </c>
    </row>
    <row r="442" spans="1:14" x14ac:dyDescent="0.35">
      <c r="A442">
        <v>100441</v>
      </c>
      <c r="B442">
        <v>43933</v>
      </c>
      <c r="C442" t="s">
        <v>372</v>
      </c>
      <c r="D442" t="s">
        <v>21</v>
      </c>
      <c r="E442" t="s">
        <v>26</v>
      </c>
      <c r="F442" t="s">
        <v>23</v>
      </c>
      <c r="G442" t="s">
        <v>18</v>
      </c>
      <c r="H442">
        <v>8794</v>
      </c>
      <c r="I442">
        <v>6933.73</v>
      </c>
      <c r="J442">
        <v>6933.73</v>
      </c>
      <c r="K442">
        <v>1860.27</v>
      </c>
      <c r="L442">
        <v>1860.27</v>
      </c>
      <c r="M442" t="s">
        <v>19</v>
      </c>
      <c r="N442">
        <v>161</v>
      </c>
    </row>
    <row r="443" spans="1:14" x14ac:dyDescent="0.35">
      <c r="A443">
        <v>100442</v>
      </c>
      <c r="B443">
        <v>94052</v>
      </c>
      <c r="C443" t="s">
        <v>373</v>
      </c>
      <c r="D443" t="s">
        <v>30</v>
      </c>
      <c r="E443" t="s">
        <v>41</v>
      </c>
      <c r="F443" t="s">
        <v>23</v>
      </c>
      <c r="G443" t="s">
        <v>28</v>
      </c>
      <c r="H443">
        <v>6493</v>
      </c>
      <c r="I443">
        <v>4464.21</v>
      </c>
      <c r="J443">
        <v>0</v>
      </c>
      <c r="K443">
        <v>2028.79</v>
      </c>
      <c r="L443">
        <v>6493</v>
      </c>
      <c r="M443" t="s">
        <v>62</v>
      </c>
      <c r="N443">
        <v>131</v>
      </c>
    </row>
    <row r="444" spans="1:14" x14ac:dyDescent="0.35">
      <c r="A444">
        <v>100443</v>
      </c>
      <c r="B444">
        <v>23481</v>
      </c>
      <c r="C444" t="s">
        <v>317</v>
      </c>
      <c r="D444" t="s">
        <v>15</v>
      </c>
      <c r="E444" t="s">
        <v>26</v>
      </c>
      <c r="F444" t="s">
        <v>61</v>
      </c>
      <c r="G444" t="s">
        <v>28</v>
      </c>
      <c r="H444">
        <v>24217</v>
      </c>
      <c r="I444">
        <v>20587.45</v>
      </c>
      <c r="J444">
        <v>10196.39</v>
      </c>
      <c r="K444">
        <v>3629.55</v>
      </c>
      <c r="L444">
        <v>14020.61</v>
      </c>
      <c r="M444" t="s">
        <v>39</v>
      </c>
      <c r="N444">
        <v>60</v>
      </c>
    </row>
    <row r="445" spans="1:14" x14ac:dyDescent="0.35">
      <c r="A445">
        <v>100444</v>
      </c>
      <c r="B445">
        <v>21616</v>
      </c>
      <c r="C445" t="s">
        <v>374</v>
      </c>
      <c r="D445" t="s">
        <v>52</v>
      </c>
      <c r="E445" t="s">
        <v>16</v>
      </c>
      <c r="F445" t="s">
        <v>17</v>
      </c>
      <c r="G445" t="s">
        <v>24</v>
      </c>
      <c r="H445">
        <v>7963</v>
      </c>
      <c r="I445">
        <v>5947.97</v>
      </c>
      <c r="J445">
        <v>3032.56</v>
      </c>
      <c r="K445">
        <v>2015.03</v>
      </c>
      <c r="L445">
        <v>4930.4399999999996</v>
      </c>
      <c r="M445" t="s">
        <v>39</v>
      </c>
      <c r="N445">
        <v>169</v>
      </c>
    </row>
    <row r="446" spans="1:14" x14ac:dyDescent="0.35">
      <c r="A446">
        <v>100445</v>
      </c>
      <c r="B446">
        <v>72113</v>
      </c>
      <c r="C446" t="s">
        <v>375</v>
      </c>
      <c r="D446" t="s">
        <v>30</v>
      </c>
      <c r="E446" t="s">
        <v>43</v>
      </c>
      <c r="F446" t="s">
        <v>17</v>
      </c>
      <c r="G446" t="s">
        <v>72</v>
      </c>
      <c r="H446">
        <v>17151</v>
      </c>
      <c r="I446">
        <v>11468.53</v>
      </c>
      <c r="J446">
        <v>1577.17</v>
      </c>
      <c r="K446">
        <v>5682.47</v>
      </c>
      <c r="L446">
        <v>15573.83</v>
      </c>
      <c r="M446" t="s">
        <v>50</v>
      </c>
      <c r="N446">
        <v>94</v>
      </c>
    </row>
    <row r="447" spans="1:14" x14ac:dyDescent="0.35">
      <c r="A447">
        <v>100446</v>
      </c>
      <c r="B447">
        <v>65571</v>
      </c>
      <c r="C447" t="s">
        <v>376</v>
      </c>
      <c r="D447" t="s">
        <v>34</v>
      </c>
      <c r="E447" t="s">
        <v>16</v>
      </c>
      <c r="F447" t="s">
        <v>54</v>
      </c>
      <c r="G447" t="s">
        <v>45</v>
      </c>
      <c r="H447">
        <v>22747</v>
      </c>
      <c r="I447">
        <v>15751.82</v>
      </c>
      <c r="J447">
        <v>0</v>
      </c>
      <c r="K447">
        <v>6995.18</v>
      </c>
      <c r="L447">
        <v>22747</v>
      </c>
      <c r="M447" t="s">
        <v>62</v>
      </c>
      <c r="N447">
        <v>143</v>
      </c>
    </row>
    <row r="448" spans="1:14" x14ac:dyDescent="0.35">
      <c r="A448">
        <v>100447</v>
      </c>
      <c r="B448">
        <v>58708</v>
      </c>
      <c r="C448" t="s">
        <v>246</v>
      </c>
      <c r="D448" t="s">
        <v>49</v>
      </c>
      <c r="E448" t="s">
        <v>43</v>
      </c>
      <c r="F448" t="s">
        <v>61</v>
      </c>
      <c r="G448" t="s">
        <v>47</v>
      </c>
      <c r="H448">
        <v>12982</v>
      </c>
      <c r="I448">
        <v>11007.74</v>
      </c>
      <c r="J448">
        <v>11007.74</v>
      </c>
      <c r="K448">
        <v>1974.26</v>
      </c>
      <c r="L448">
        <v>1974.26</v>
      </c>
      <c r="M448" t="s">
        <v>19</v>
      </c>
      <c r="N448">
        <v>143</v>
      </c>
    </row>
    <row r="449" spans="1:14" x14ac:dyDescent="0.35">
      <c r="A449">
        <v>100448</v>
      </c>
      <c r="B449">
        <v>35319</v>
      </c>
      <c r="C449" t="s">
        <v>377</v>
      </c>
      <c r="D449" t="s">
        <v>65</v>
      </c>
      <c r="E449" t="s">
        <v>56</v>
      </c>
      <c r="F449" t="s">
        <v>54</v>
      </c>
      <c r="G449" t="s">
        <v>47</v>
      </c>
      <c r="H449">
        <v>16951</v>
      </c>
      <c r="I449">
        <v>15409.35</v>
      </c>
      <c r="J449">
        <v>15409.35</v>
      </c>
      <c r="K449">
        <v>1541.65</v>
      </c>
      <c r="L449">
        <v>1541.65</v>
      </c>
      <c r="M449" t="s">
        <v>19</v>
      </c>
      <c r="N449">
        <v>169</v>
      </c>
    </row>
    <row r="450" spans="1:14" x14ac:dyDescent="0.35">
      <c r="A450">
        <v>100449</v>
      </c>
      <c r="B450">
        <v>39906</v>
      </c>
      <c r="C450" t="s">
        <v>142</v>
      </c>
      <c r="D450" t="s">
        <v>49</v>
      </c>
      <c r="E450" t="s">
        <v>41</v>
      </c>
      <c r="F450" t="s">
        <v>44</v>
      </c>
      <c r="G450" t="s">
        <v>45</v>
      </c>
      <c r="H450">
        <v>1000</v>
      </c>
      <c r="I450">
        <v>578.33000000000004</v>
      </c>
      <c r="J450">
        <v>578.33000000000004</v>
      </c>
      <c r="K450">
        <v>421.67</v>
      </c>
      <c r="L450">
        <v>421.67</v>
      </c>
      <c r="M450" t="s">
        <v>19</v>
      </c>
      <c r="N450">
        <v>135</v>
      </c>
    </row>
    <row r="451" spans="1:14" x14ac:dyDescent="0.35">
      <c r="A451">
        <v>100450</v>
      </c>
      <c r="B451">
        <v>70140</v>
      </c>
      <c r="C451" t="s">
        <v>378</v>
      </c>
      <c r="D451" t="s">
        <v>52</v>
      </c>
      <c r="E451" t="s">
        <v>41</v>
      </c>
      <c r="F451" t="s">
        <v>44</v>
      </c>
      <c r="G451" t="s">
        <v>72</v>
      </c>
      <c r="H451">
        <v>23997</v>
      </c>
      <c r="I451">
        <v>15800.43</v>
      </c>
      <c r="J451">
        <v>9308.1200000000008</v>
      </c>
      <c r="K451">
        <v>8196.57</v>
      </c>
      <c r="L451">
        <v>14688.88</v>
      </c>
      <c r="M451" t="s">
        <v>39</v>
      </c>
      <c r="N451">
        <v>129</v>
      </c>
    </row>
    <row r="452" spans="1:14" x14ac:dyDescent="0.35">
      <c r="A452">
        <v>100451</v>
      </c>
      <c r="B452">
        <v>58609</v>
      </c>
      <c r="C452" t="s">
        <v>70</v>
      </c>
      <c r="D452" t="s">
        <v>34</v>
      </c>
      <c r="E452" t="s">
        <v>26</v>
      </c>
      <c r="F452" t="s">
        <v>61</v>
      </c>
      <c r="G452" t="s">
        <v>24</v>
      </c>
      <c r="H452">
        <v>697</v>
      </c>
      <c r="I452">
        <v>655.36</v>
      </c>
      <c r="J452">
        <v>655.36</v>
      </c>
      <c r="K452">
        <v>41.64</v>
      </c>
      <c r="L452">
        <v>41.64</v>
      </c>
      <c r="M452" t="s">
        <v>19</v>
      </c>
      <c r="N452">
        <v>97</v>
      </c>
    </row>
    <row r="453" spans="1:14" x14ac:dyDescent="0.35">
      <c r="A453">
        <v>100452</v>
      </c>
      <c r="B453">
        <v>59049</v>
      </c>
      <c r="C453" t="s">
        <v>379</v>
      </c>
      <c r="D453" t="s">
        <v>15</v>
      </c>
      <c r="E453" t="s">
        <v>41</v>
      </c>
      <c r="F453" t="s">
        <v>61</v>
      </c>
      <c r="G453" t="s">
        <v>45</v>
      </c>
      <c r="H453">
        <v>19998</v>
      </c>
      <c r="I453">
        <v>18853.71</v>
      </c>
      <c r="J453">
        <v>18853.71</v>
      </c>
      <c r="K453">
        <v>1144.29</v>
      </c>
      <c r="L453">
        <v>1144.29</v>
      </c>
      <c r="M453" t="s">
        <v>19</v>
      </c>
      <c r="N453">
        <v>39</v>
      </c>
    </row>
    <row r="454" spans="1:14" x14ac:dyDescent="0.35">
      <c r="A454">
        <v>100453</v>
      </c>
      <c r="B454">
        <v>27391</v>
      </c>
      <c r="C454" t="s">
        <v>222</v>
      </c>
      <c r="D454" t="s">
        <v>15</v>
      </c>
      <c r="E454" t="s">
        <v>22</v>
      </c>
      <c r="F454" t="s">
        <v>35</v>
      </c>
      <c r="G454" t="s">
        <v>28</v>
      </c>
      <c r="H454">
        <v>5213</v>
      </c>
      <c r="I454">
        <v>2990.15</v>
      </c>
      <c r="J454">
        <v>2990.15</v>
      </c>
      <c r="K454">
        <v>2222.85</v>
      </c>
      <c r="L454">
        <v>2222.85</v>
      </c>
      <c r="M454" t="s">
        <v>19</v>
      </c>
      <c r="N454">
        <v>110</v>
      </c>
    </row>
    <row r="455" spans="1:14" x14ac:dyDescent="0.35">
      <c r="A455">
        <v>100454</v>
      </c>
      <c r="B455">
        <v>15522</v>
      </c>
      <c r="C455" t="s">
        <v>380</v>
      </c>
      <c r="D455" t="s">
        <v>34</v>
      </c>
      <c r="E455" t="s">
        <v>31</v>
      </c>
      <c r="F455" t="s">
        <v>27</v>
      </c>
      <c r="G455" t="s">
        <v>45</v>
      </c>
      <c r="H455">
        <v>5305</v>
      </c>
      <c r="I455">
        <v>4612.22</v>
      </c>
      <c r="J455">
        <v>3230.4</v>
      </c>
      <c r="K455">
        <v>692.78</v>
      </c>
      <c r="L455">
        <v>2074.6</v>
      </c>
      <c r="M455" t="s">
        <v>39</v>
      </c>
      <c r="N455">
        <v>21</v>
      </c>
    </row>
    <row r="456" spans="1:14" x14ac:dyDescent="0.35">
      <c r="A456">
        <v>100455</v>
      </c>
      <c r="B456">
        <v>42991</v>
      </c>
      <c r="C456" t="s">
        <v>355</v>
      </c>
      <c r="D456" t="s">
        <v>49</v>
      </c>
      <c r="E456" t="s">
        <v>43</v>
      </c>
      <c r="F456" t="s">
        <v>54</v>
      </c>
      <c r="G456" t="s">
        <v>45</v>
      </c>
      <c r="H456">
        <v>6429</v>
      </c>
      <c r="I456">
        <v>5227.1499999999996</v>
      </c>
      <c r="J456">
        <v>1420.52</v>
      </c>
      <c r="K456">
        <v>1201.8499999999999</v>
      </c>
      <c r="L456">
        <v>5008.4799999999996</v>
      </c>
      <c r="M456" t="s">
        <v>50</v>
      </c>
      <c r="N456">
        <v>162</v>
      </c>
    </row>
    <row r="457" spans="1:14" x14ac:dyDescent="0.35">
      <c r="A457">
        <v>100456</v>
      </c>
      <c r="B457">
        <v>61135</v>
      </c>
      <c r="C457" t="s">
        <v>162</v>
      </c>
      <c r="D457" t="s">
        <v>34</v>
      </c>
      <c r="E457" t="s">
        <v>37</v>
      </c>
      <c r="F457" t="s">
        <v>23</v>
      </c>
      <c r="G457" t="s">
        <v>28</v>
      </c>
      <c r="H457">
        <v>2717</v>
      </c>
      <c r="I457">
        <v>1948.73</v>
      </c>
      <c r="J457">
        <v>1948.73</v>
      </c>
      <c r="K457">
        <v>768.27</v>
      </c>
      <c r="L457">
        <v>768.27</v>
      </c>
      <c r="M457" t="s">
        <v>19</v>
      </c>
      <c r="N457">
        <v>8</v>
      </c>
    </row>
    <row r="458" spans="1:14" x14ac:dyDescent="0.35">
      <c r="A458">
        <v>100457</v>
      </c>
      <c r="B458">
        <v>59829</v>
      </c>
      <c r="C458" t="s">
        <v>381</v>
      </c>
      <c r="D458" t="s">
        <v>21</v>
      </c>
      <c r="E458" t="s">
        <v>41</v>
      </c>
      <c r="F458" t="s">
        <v>44</v>
      </c>
      <c r="G458" t="s">
        <v>28</v>
      </c>
      <c r="H458">
        <v>21409</v>
      </c>
      <c r="I458">
        <v>18665.32</v>
      </c>
      <c r="J458">
        <v>18665.32</v>
      </c>
      <c r="K458">
        <v>2743.68</v>
      </c>
      <c r="L458">
        <v>2743.68</v>
      </c>
      <c r="M458" t="s">
        <v>19</v>
      </c>
      <c r="N458">
        <v>0</v>
      </c>
    </row>
    <row r="459" spans="1:14" x14ac:dyDescent="0.35">
      <c r="A459">
        <v>100458</v>
      </c>
      <c r="B459">
        <v>41767</v>
      </c>
      <c r="C459" t="s">
        <v>382</v>
      </c>
      <c r="D459" t="s">
        <v>15</v>
      </c>
      <c r="E459" t="s">
        <v>56</v>
      </c>
      <c r="F459" t="s">
        <v>35</v>
      </c>
      <c r="G459" t="s">
        <v>24</v>
      </c>
      <c r="H459">
        <v>24228</v>
      </c>
      <c r="I459">
        <v>21969.09</v>
      </c>
      <c r="J459">
        <v>17382.2</v>
      </c>
      <c r="K459">
        <v>2258.91</v>
      </c>
      <c r="L459">
        <v>6845.8</v>
      </c>
      <c r="M459" t="s">
        <v>39</v>
      </c>
      <c r="N459">
        <v>99</v>
      </c>
    </row>
    <row r="460" spans="1:14" x14ac:dyDescent="0.35">
      <c r="A460">
        <v>100459</v>
      </c>
      <c r="B460">
        <v>73888</v>
      </c>
      <c r="C460" t="s">
        <v>99</v>
      </c>
      <c r="D460" t="s">
        <v>65</v>
      </c>
      <c r="E460" t="s">
        <v>22</v>
      </c>
      <c r="F460" t="s">
        <v>44</v>
      </c>
      <c r="G460" t="s">
        <v>47</v>
      </c>
      <c r="H460">
        <v>13072</v>
      </c>
      <c r="I460">
        <v>7955.79</v>
      </c>
      <c r="J460">
        <v>537.77</v>
      </c>
      <c r="K460">
        <v>5116.21</v>
      </c>
      <c r="L460">
        <v>12534.23</v>
      </c>
      <c r="M460" t="s">
        <v>50</v>
      </c>
      <c r="N460">
        <v>138</v>
      </c>
    </row>
    <row r="461" spans="1:14" x14ac:dyDescent="0.35">
      <c r="A461">
        <v>100460</v>
      </c>
      <c r="B461">
        <v>23096</v>
      </c>
      <c r="C461" t="s">
        <v>307</v>
      </c>
      <c r="D461" t="s">
        <v>30</v>
      </c>
      <c r="E461" t="s">
        <v>37</v>
      </c>
      <c r="F461" t="s">
        <v>27</v>
      </c>
      <c r="G461" t="s">
        <v>18</v>
      </c>
      <c r="H461">
        <v>24970</v>
      </c>
      <c r="I461">
        <v>20778.38</v>
      </c>
      <c r="J461">
        <v>20778.38</v>
      </c>
      <c r="K461">
        <v>4191.62</v>
      </c>
      <c r="L461">
        <v>4191.62</v>
      </c>
      <c r="M461" t="s">
        <v>19</v>
      </c>
      <c r="N461">
        <v>128</v>
      </c>
    </row>
    <row r="462" spans="1:14" x14ac:dyDescent="0.35">
      <c r="A462">
        <v>100461</v>
      </c>
      <c r="B462">
        <v>85937</v>
      </c>
      <c r="C462" t="s">
        <v>383</v>
      </c>
      <c r="D462" t="s">
        <v>65</v>
      </c>
      <c r="E462" t="s">
        <v>16</v>
      </c>
      <c r="F462" t="s">
        <v>35</v>
      </c>
      <c r="G462" t="s">
        <v>47</v>
      </c>
      <c r="H462">
        <v>13445</v>
      </c>
      <c r="I462">
        <v>10383.85</v>
      </c>
      <c r="J462">
        <v>10383.85</v>
      </c>
      <c r="K462">
        <v>3061.15</v>
      </c>
      <c r="L462">
        <v>3061.15</v>
      </c>
      <c r="M462" t="s">
        <v>19</v>
      </c>
      <c r="N462">
        <v>71</v>
      </c>
    </row>
    <row r="463" spans="1:14" x14ac:dyDescent="0.35">
      <c r="A463">
        <v>100462</v>
      </c>
      <c r="B463">
        <v>85856</v>
      </c>
      <c r="C463" t="s">
        <v>384</v>
      </c>
      <c r="D463" t="s">
        <v>65</v>
      </c>
      <c r="E463" t="s">
        <v>16</v>
      </c>
      <c r="F463" t="s">
        <v>27</v>
      </c>
      <c r="G463" t="s">
        <v>38</v>
      </c>
      <c r="H463">
        <v>23874</v>
      </c>
      <c r="I463">
        <v>18497</v>
      </c>
      <c r="J463">
        <v>18497</v>
      </c>
      <c r="K463">
        <v>5377</v>
      </c>
      <c r="L463">
        <v>5377</v>
      </c>
      <c r="M463" t="s">
        <v>19</v>
      </c>
      <c r="N463">
        <v>161</v>
      </c>
    </row>
    <row r="464" spans="1:14" x14ac:dyDescent="0.35">
      <c r="A464">
        <v>100463</v>
      </c>
      <c r="B464">
        <v>61308</v>
      </c>
      <c r="C464" t="s">
        <v>180</v>
      </c>
      <c r="D464" t="s">
        <v>49</v>
      </c>
      <c r="E464" t="s">
        <v>41</v>
      </c>
      <c r="F464" t="s">
        <v>35</v>
      </c>
      <c r="G464" t="s">
        <v>28</v>
      </c>
      <c r="H464">
        <v>24538</v>
      </c>
      <c r="I464">
        <v>16644.63</v>
      </c>
      <c r="J464">
        <v>14961.14</v>
      </c>
      <c r="K464">
        <v>7893.37</v>
      </c>
      <c r="L464">
        <v>9576.86</v>
      </c>
      <c r="M464" t="s">
        <v>39</v>
      </c>
      <c r="N464">
        <v>44</v>
      </c>
    </row>
    <row r="465" spans="1:14" x14ac:dyDescent="0.35">
      <c r="A465">
        <v>100464</v>
      </c>
      <c r="B465">
        <v>77948</v>
      </c>
      <c r="C465" t="s">
        <v>385</v>
      </c>
      <c r="D465" t="s">
        <v>21</v>
      </c>
      <c r="E465" t="s">
        <v>56</v>
      </c>
      <c r="F465" t="s">
        <v>54</v>
      </c>
      <c r="G465" t="s">
        <v>47</v>
      </c>
      <c r="H465">
        <v>2306</v>
      </c>
      <c r="I465">
        <v>1459.45</v>
      </c>
      <c r="J465">
        <v>1459.45</v>
      </c>
      <c r="K465">
        <v>846.55</v>
      </c>
      <c r="L465">
        <v>846.55</v>
      </c>
      <c r="M465" t="s">
        <v>19</v>
      </c>
      <c r="N465">
        <v>135</v>
      </c>
    </row>
    <row r="466" spans="1:14" x14ac:dyDescent="0.35">
      <c r="A466">
        <v>100465</v>
      </c>
      <c r="B466">
        <v>49398</v>
      </c>
      <c r="C466" t="s">
        <v>225</v>
      </c>
      <c r="D466" t="s">
        <v>34</v>
      </c>
      <c r="E466" t="s">
        <v>56</v>
      </c>
      <c r="F466" t="s">
        <v>27</v>
      </c>
      <c r="G466" t="s">
        <v>38</v>
      </c>
      <c r="H466">
        <v>9402</v>
      </c>
      <c r="I466">
        <v>5367.74</v>
      </c>
      <c r="J466">
        <v>713.02</v>
      </c>
      <c r="K466">
        <v>4034.26</v>
      </c>
      <c r="L466">
        <v>8688.98</v>
      </c>
      <c r="M466" t="s">
        <v>50</v>
      </c>
      <c r="N466">
        <v>138</v>
      </c>
    </row>
    <row r="467" spans="1:14" x14ac:dyDescent="0.35">
      <c r="A467">
        <v>100466</v>
      </c>
      <c r="B467">
        <v>94790</v>
      </c>
      <c r="C467" t="s">
        <v>323</v>
      </c>
      <c r="D467" t="s">
        <v>34</v>
      </c>
      <c r="E467" t="s">
        <v>43</v>
      </c>
      <c r="F467" t="s">
        <v>61</v>
      </c>
      <c r="G467" t="s">
        <v>18</v>
      </c>
      <c r="H467">
        <v>23855</v>
      </c>
      <c r="I467">
        <v>13162.85</v>
      </c>
      <c r="J467">
        <v>7902.2</v>
      </c>
      <c r="K467">
        <v>10692.15</v>
      </c>
      <c r="L467">
        <v>15952.8</v>
      </c>
      <c r="M467" t="s">
        <v>39</v>
      </c>
      <c r="N467">
        <v>48</v>
      </c>
    </row>
    <row r="468" spans="1:14" x14ac:dyDescent="0.35">
      <c r="A468">
        <v>100467</v>
      </c>
      <c r="B468">
        <v>15896</v>
      </c>
      <c r="C468" t="s">
        <v>77</v>
      </c>
      <c r="D468" t="s">
        <v>34</v>
      </c>
      <c r="E468" t="s">
        <v>41</v>
      </c>
      <c r="F468" t="s">
        <v>27</v>
      </c>
      <c r="G468" t="s">
        <v>47</v>
      </c>
      <c r="H468">
        <v>2138</v>
      </c>
      <c r="I468">
        <v>1470.24</v>
      </c>
      <c r="J468">
        <v>1470.24</v>
      </c>
      <c r="K468">
        <v>667.76</v>
      </c>
      <c r="L468">
        <v>667.76</v>
      </c>
      <c r="M468" t="s">
        <v>19</v>
      </c>
      <c r="N468">
        <v>34</v>
      </c>
    </row>
    <row r="469" spans="1:14" x14ac:dyDescent="0.35">
      <c r="A469">
        <v>100468</v>
      </c>
      <c r="B469">
        <v>77733</v>
      </c>
      <c r="C469" t="s">
        <v>386</v>
      </c>
      <c r="D469" t="s">
        <v>15</v>
      </c>
      <c r="E469" t="s">
        <v>16</v>
      </c>
      <c r="F469" t="s">
        <v>61</v>
      </c>
      <c r="G469" t="s">
        <v>72</v>
      </c>
      <c r="H469">
        <v>15241</v>
      </c>
      <c r="I469">
        <v>9105.2099999999991</v>
      </c>
      <c r="J469">
        <v>9105.2099999999991</v>
      </c>
      <c r="K469">
        <v>6135.79</v>
      </c>
      <c r="L469">
        <v>6135.79</v>
      </c>
      <c r="M469" t="s">
        <v>19</v>
      </c>
      <c r="N469">
        <v>4</v>
      </c>
    </row>
    <row r="470" spans="1:14" x14ac:dyDescent="0.35">
      <c r="A470">
        <v>100469</v>
      </c>
      <c r="B470">
        <v>98949</v>
      </c>
      <c r="C470" t="s">
        <v>387</v>
      </c>
      <c r="D470" t="s">
        <v>30</v>
      </c>
      <c r="E470" t="s">
        <v>26</v>
      </c>
      <c r="F470" t="s">
        <v>17</v>
      </c>
      <c r="G470" t="s">
        <v>72</v>
      </c>
      <c r="H470">
        <v>19424</v>
      </c>
      <c r="I470">
        <v>14025.58</v>
      </c>
      <c r="J470">
        <v>14025.58</v>
      </c>
      <c r="K470">
        <v>5398.42</v>
      </c>
      <c r="L470">
        <v>5398.42</v>
      </c>
      <c r="M470" t="s">
        <v>19</v>
      </c>
      <c r="N470">
        <v>34</v>
      </c>
    </row>
    <row r="471" spans="1:14" x14ac:dyDescent="0.35">
      <c r="A471">
        <v>100470</v>
      </c>
      <c r="B471">
        <v>97381</v>
      </c>
      <c r="C471" t="s">
        <v>388</v>
      </c>
      <c r="D471" t="s">
        <v>65</v>
      </c>
      <c r="E471" t="s">
        <v>26</v>
      </c>
      <c r="F471" t="s">
        <v>32</v>
      </c>
      <c r="G471" t="s">
        <v>24</v>
      </c>
      <c r="H471">
        <v>7329</v>
      </c>
      <c r="I471">
        <v>4959.6099999999997</v>
      </c>
      <c r="J471">
        <v>4959.6099999999997</v>
      </c>
      <c r="K471">
        <v>2369.39</v>
      </c>
      <c r="L471">
        <v>2369.39</v>
      </c>
      <c r="M471" t="s">
        <v>19</v>
      </c>
      <c r="N471">
        <v>57</v>
      </c>
    </row>
    <row r="472" spans="1:14" x14ac:dyDescent="0.35">
      <c r="A472">
        <v>100471</v>
      </c>
      <c r="B472">
        <v>95338</v>
      </c>
      <c r="C472" t="s">
        <v>361</v>
      </c>
      <c r="D472" t="s">
        <v>30</v>
      </c>
      <c r="E472" t="s">
        <v>56</v>
      </c>
      <c r="F472" t="s">
        <v>44</v>
      </c>
      <c r="G472" t="s">
        <v>72</v>
      </c>
      <c r="H472">
        <v>13043</v>
      </c>
      <c r="I472">
        <v>7447.35</v>
      </c>
      <c r="J472">
        <v>0</v>
      </c>
      <c r="K472">
        <v>5595.65</v>
      </c>
      <c r="L472">
        <v>13043</v>
      </c>
      <c r="M472" t="s">
        <v>62</v>
      </c>
      <c r="N472">
        <v>126</v>
      </c>
    </row>
    <row r="473" spans="1:14" x14ac:dyDescent="0.35">
      <c r="A473">
        <v>100472</v>
      </c>
      <c r="B473">
        <v>84966</v>
      </c>
      <c r="C473" t="s">
        <v>125</v>
      </c>
      <c r="D473" t="s">
        <v>34</v>
      </c>
      <c r="E473" t="s">
        <v>43</v>
      </c>
      <c r="F473" t="s">
        <v>32</v>
      </c>
      <c r="G473" t="s">
        <v>38</v>
      </c>
      <c r="H473">
        <v>19632</v>
      </c>
      <c r="I473">
        <v>17592.7</v>
      </c>
      <c r="J473">
        <v>17592.7</v>
      </c>
      <c r="K473">
        <v>2039.3</v>
      </c>
      <c r="L473">
        <v>2039.3</v>
      </c>
      <c r="M473" t="s">
        <v>19</v>
      </c>
      <c r="N473">
        <v>59</v>
      </c>
    </row>
    <row r="474" spans="1:14" x14ac:dyDescent="0.35">
      <c r="A474">
        <v>100473</v>
      </c>
      <c r="B474">
        <v>64208</v>
      </c>
      <c r="C474" t="s">
        <v>389</v>
      </c>
      <c r="D474" t="s">
        <v>49</v>
      </c>
      <c r="E474" t="s">
        <v>41</v>
      </c>
      <c r="F474" t="s">
        <v>61</v>
      </c>
      <c r="G474" t="s">
        <v>38</v>
      </c>
      <c r="H474">
        <v>8505</v>
      </c>
      <c r="I474">
        <v>7572.97</v>
      </c>
      <c r="J474">
        <v>3296.09</v>
      </c>
      <c r="K474">
        <v>932.03</v>
      </c>
      <c r="L474">
        <v>5208.91</v>
      </c>
      <c r="M474" t="s">
        <v>39</v>
      </c>
      <c r="N474">
        <v>153</v>
      </c>
    </row>
    <row r="475" spans="1:14" x14ac:dyDescent="0.35">
      <c r="A475">
        <v>100474</v>
      </c>
      <c r="B475">
        <v>14592</v>
      </c>
      <c r="C475" t="s">
        <v>390</v>
      </c>
      <c r="D475" t="s">
        <v>15</v>
      </c>
      <c r="E475" t="s">
        <v>22</v>
      </c>
      <c r="F475" t="s">
        <v>54</v>
      </c>
      <c r="G475" t="s">
        <v>45</v>
      </c>
      <c r="H475">
        <v>24743</v>
      </c>
      <c r="I475">
        <v>16969.2</v>
      </c>
      <c r="J475">
        <v>16969.2</v>
      </c>
      <c r="K475">
        <v>7773.8</v>
      </c>
      <c r="L475">
        <v>7773.8</v>
      </c>
      <c r="M475" t="s">
        <v>19</v>
      </c>
      <c r="N475">
        <v>99</v>
      </c>
    </row>
    <row r="476" spans="1:14" x14ac:dyDescent="0.35">
      <c r="A476">
        <v>100475</v>
      </c>
      <c r="B476">
        <v>55337</v>
      </c>
      <c r="C476" t="s">
        <v>391</v>
      </c>
      <c r="D476" t="s">
        <v>30</v>
      </c>
      <c r="E476" t="s">
        <v>37</v>
      </c>
      <c r="F476" t="s">
        <v>35</v>
      </c>
      <c r="G476" t="s">
        <v>47</v>
      </c>
      <c r="H476">
        <v>17270</v>
      </c>
      <c r="I476">
        <v>9985.2199999999993</v>
      </c>
      <c r="J476">
        <v>0</v>
      </c>
      <c r="K476">
        <v>7284.78</v>
      </c>
      <c r="L476">
        <v>17270</v>
      </c>
      <c r="M476" t="s">
        <v>62</v>
      </c>
      <c r="N476">
        <v>10</v>
      </c>
    </row>
    <row r="477" spans="1:14" x14ac:dyDescent="0.35">
      <c r="A477">
        <v>100476</v>
      </c>
      <c r="B477">
        <v>44449</v>
      </c>
      <c r="C477" t="s">
        <v>392</v>
      </c>
      <c r="D477" t="s">
        <v>65</v>
      </c>
      <c r="E477" t="s">
        <v>26</v>
      </c>
      <c r="F477" t="s">
        <v>35</v>
      </c>
      <c r="G477" t="s">
        <v>47</v>
      </c>
      <c r="H477">
        <v>20451</v>
      </c>
      <c r="I477">
        <v>15570.97</v>
      </c>
      <c r="J477">
        <v>13433</v>
      </c>
      <c r="K477">
        <v>4880.03</v>
      </c>
      <c r="L477">
        <v>7018</v>
      </c>
      <c r="M477" t="s">
        <v>39</v>
      </c>
      <c r="N477">
        <v>0</v>
      </c>
    </row>
    <row r="478" spans="1:14" x14ac:dyDescent="0.35">
      <c r="A478">
        <v>100477</v>
      </c>
      <c r="B478">
        <v>90478</v>
      </c>
      <c r="C478" t="s">
        <v>216</v>
      </c>
      <c r="D478" t="s">
        <v>49</v>
      </c>
      <c r="E478" t="s">
        <v>37</v>
      </c>
      <c r="F478" t="s">
        <v>23</v>
      </c>
      <c r="G478" t="s">
        <v>72</v>
      </c>
      <c r="H478">
        <v>8621</v>
      </c>
      <c r="I478">
        <v>8071.79</v>
      </c>
      <c r="J478">
        <v>8071.79</v>
      </c>
      <c r="K478">
        <v>549.21</v>
      </c>
      <c r="L478">
        <v>549.21</v>
      </c>
      <c r="M478" t="s">
        <v>19</v>
      </c>
      <c r="N478">
        <v>91</v>
      </c>
    </row>
    <row r="479" spans="1:14" x14ac:dyDescent="0.35">
      <c r="A479">
        <v>100478</v>
      </c>
      <c r="B479">
        <v>50820</v>
      </c>
      <c r="C479" t="s">
        <v>393</v>
      </c>
      <c r="D479" t="s">
        <v>15</v>
      </c>
      <c r="E479" t="s">
        <v>26</v>
      </c>
      <c r="F479" t="s">
        <v>23</v>
      </c>
      <c r="G479" t="s">
        <v>18</v>
      </c>
      <c r="H479">
        <v>11943</v>
      </c>
      <c r="I479">
        <v>7606.78</v>
      </c>
      <c r="J479">
        <v>3223.12</v>
      </c>
      <c r="K479">
        <v>4336.22</v>
      </c>
      <c r="L479">
        <v>8719.8799999999992</v>
      </c>
      <c r="M479" t="s">
        <v>39</v>
      </c>
      <c r="N479">
        <v>170</v>
      </c>
    </row>
    <row r="480" spans="1:14" x14ac:dyDescent="0.35">
      <c r="A480">
        <v>100479</v>
      </c>
      <c r="B480">
        <v>79852</v>
      </c>
      <c r="C480" t="s">
        <v>394</v>
      </c>
      <c r="D480" t="s">
        <v>34</v>
      </c>
      <c r="E480" t="s">
        <v>31</v>
      </c>
      <c r="F480" t="s">
        <v>27</v>
      </c>
      <c r="G480" t="s">
        <v>24</v>
      </c>
      <c r="H480">
        <v>24433</v>
      </c>
      <c r="I480">
        <v>13878.98</v>
      </c>
      <c r="J480">
        <v>780.81</v>
      </c>
      <c r="K480">
        <v>10554.02</v>
      </c>
      <c r="L480">
        <v>23652.19</v>
      </c>
      <c r="M480" t="s">
        <v>50</v>
      </c>
      <c r="N480">
        <v>160</v>
      </c>
    </row>
    <row r="481" spans="1:14" x14ac:dyDescent="0.35">
      <c r="A481">
        <v>100480</v>
      </c>
      <c r="B481">
        <v>82402</v>
      </c>
      <c r="C481" t="s">
        <v>286</v>
      </c>
      <c r="D481" t="s">
        <v>49</v>
      </c>
      <c r="E481" t="s">
        <v>26</v>
      </c>
      <c r="F481" t="s">
        <v>27</v>
      </c>
      <c r="G481" t="s">
        <v>47</v>
      </c>
      <c r="H481">
        <v>343</v>
      </c>
      <c r="I481">
        <v>318.95</v>
      </c>
      <c r="J481">
        <v>318.95</v>
      </c>
      <c r="K481">
        <v>24.05</v>
      </c>
      <c r="L481">
        <v>24.05</v>
      </c>
      <c r="M481" t="s">
        <v>19</v>
      </c>
      <c r="N481">
        <v>3</v>
      </c>
    </row>
    <row r="482" spans="1:14" x14ac:dyDescent="0.35">
      <c r="A482">
        <v>100481</v>
      </c>
      <c r="B482">
        <v>83653</v>
      </c>
      <c r="C482" t="s">
        <v>395</v>
      </c>
      <c r="D482" t="s">
        <v>30</v>
      </c>
      <c r="E482" t="s">
        <v>22</v>
      </c>
      <c r="F482" t="s">
        <v>44</v>
      </c>
      <c r="G482" t="s">
        <v>45</v>
      </c>
      <c r="H482">
        <v>21690</v>
      </c>
      <c r="I482">
        <v>12025.36</v>
      </c>
      <c r="J482">
        <v>12025.36</v>
      </c>
      <c r="K482">
        <v>9664.64</v>
      </c>
      <c r="L482">
        <v>9664.64</v>
      </c>
      <c r="M482" t="s">
        <v>19</v>
      </c>
      <c r="N482">
        <v>127</v>
      </c>
    </row>
    <row r="483" spans="1:14" x14ac:dyDescent="0.35">
      <c r="A483">
        <v>100482</v>
      </c>
      <c r="B483">
        <v>63250</v>
      </c>
      <c r="C483" t="s">
        <v>25</v>
      </c>
      <c r="D483" t="s">
        <v>52</v>
      </c>
      <c r="E483" t="s">
        <v>16</v>
      </c>
      <c r="F483" t="s">
        <v>61</v>
      </c>
      <c r="G483" t="s">
        <v>24</v>
      </c>
      <c r="H483">
        <v>4853</v>
      </c>
      <c r="I483">
        <v>3991.42</v>
      </c>
      <c r="J483">
        <v>3991.42</v>
      </c>
      <c r="K483">
        <v>861.58</v>
      </c>
      <c r="L483">
        <v>861.58</v>
      </c>
      <c r="M483" t="s">
        <v>19</v>
      </c>
      <c r="N483">
        <v>146</v>
      </c>
    </row>
    <row r="484" spans="1:14" x14ac:dyDescent="0.35">
      <c r="A484">
        <v>100483</v>
      </c>
      <c r="B484">
        <v>66421</v>
      </c>
      <c r="C484" t="s">
        <v>293</v>
      </c>
      <c r="D484" t="s">
        <v>34</v>
      </c>
      <c r="E484" t="s">
        <v>41</v>
      </c>
      <c r="F484" t="s">
        <v>61</v>
      </c>
      <c r="G484" t="s">
        <v>24</v>
      </c>
      <c r="H484">
        <v>15088</v>
      </c>
      <c r="I484">
        <v>13325.87</v>
      </c>
      <c r="J484">
        <v>13325.87</v>
      </c>
      <c r="K484">
        <v>1762.13</v>
      </c>
      <c r="L484">
        <v>1762.13</v>
      </c>
      <c r="M484" t="s">
        <v>19</v>
      </c>
      <c r="N484">
        <v>18</v>
      </c>
    </row>
    <row r="485" spans="1:14" x14ac:dyDescent="0.35">
      <c r="A485">
        <v>100484</v>
      </c>
      <c r="B485">
        <v>92008</v>
      </c>
      <c r="C485" t="s">
        <v>108</v>
      </c>
      <c r="D485" t="s">
        <v>34</v>
      </c>
      <c r="E485" t="s">
        <v>22</v>
      </c>
      <c r="F485" t="s">
        <v>17</v>
      </c>
      <c r="G485" t="s">
        <v>18</v>
      </c>
      <c r="H485">
        <v>8613</v>
      </c>
      <c r="I485">
        <v>6245.78</v>
      </c>
      <c r="J485">
        <v>6245.78</v>
      </c>
      <c r="K485">
        <v>2367.2199999999998</v>
      </c>
      <c r="L485">
        <v>2367.2199999999998</v>
      </c>
      <c r="M485" t="s">
        <v>19</v>
      </c>
      <c r="N485">
        <v>77</v>
      </c>
    </row>
    <row r="486" spans="1:14" x14ac:dyDescent="0.35">
      <c r="A486">
        <v>100485</v>
      </c>
      <c r="B486">
        <v>39030</v>
      </c>
      <c r="C486" t="s">
        <v>383</v>
      </c>
      <c r="D486" t="s">
        <v>49</v>
      </c>
      <c r="E486" t="s">
        <v>43</v>
      </c>
      <c r="F486" t="s">
        <v>23</v>
      </c>
      <c r="G486" t="s">
        <v>45</v>
      </c>
      <c r="H486">
        <v>11500</v>
      </c>
      <c r="I486">
        <v>10855.04</v>
      </c>
      <c r="J486">
        <v>10855.04</v>
      </c>
      <c r="K486">
        <v>644.96</v>
      </c>
      <c r="L486">
        <v>644.96</v>
      </c>
      <c r="M486" t="s">
        <v>19</v>
      </c>
      <c r="N486">
        <v>24</v>
      </c>
    </row>
    <row r="487" spans="1:14" x14ac:dyDescent="0.35">
      <c r="A487">
        <v>100486</v>
      </c>
      <c r="B487">
        <v>42530</v>
      </c>
      <c r="C487" t="s">
        <v>396</v>
      </c>
      <c r="D487" t="s">
        <v>30</v>
      </c>
      <c r="E487" t="s">
        <v>56</v>
      </c>
      <c r="F487" t="s">
        <v>32</v>
      </c>
      <c r="G487" t="s">
        <v>24</v>
      </c>
      <c r="H487">
        <v>3053</v>
      </c>
      <c r="I487">
        <v>2765.51</v>
      </c>
      <c r="J487">
        <v>2765.51</v>
      </c>
      <c r="K487">
        <v>287.49</v>
      </c>
      <c r="L487">
        <v>287.49</v>
      </c>
      <c r="M487" t="s">
        <v>19</v>
      </c>
      <c r="N487">
        <v>10</v>
      </c>
    </row>
    <row r="488" spans="1:14" x14ac:dyDescent="0.35">
      <c r="A488">
        <v>100487</v>
      </c>
      <c r="B488">
        <v>72293</v>
      </c>
      <c r="C488" t="s">
        <v>197</v>
      </c>
      <c r="D488" t="s">
        <v>65</v>
      </c>
      <c r="E488" t="s">
        <v>16</v>
      </c>
      <c r="F488" t="s">
        <v>35</v>
      </c>
      <c r="G488" t="s">
        <v>45</v>
      </c>
      <c r="H488">
        <v>12776</v>
      </c>
      <c r="I488">
        <v>8941.9699999999993</v>
      </c>
      <c r="J488">
        <v>0</v>
      </c>
      <c r="K488">
        <v>3834.03</v>
      </c>
      <c r="L488">
        <v>12776</v>
      </c>
      <c r="M488" t="s">
        <v>62</v>
      </c>
      <c r="N488">
        <v>105</v>
      </c>
    </row>
    <row r="489" spans="1:14" x14ac:dyDescent="0.35">
      <c r="A489">
        <v>100488</v>
      </c>
      <c r="B489">
        <v>23747</v>
      </c>
      <c r="C489" t="s">
        <v>397</v>
      </c>
      <c r="D489" t="s">
        <v>21</v>
      </c>
      <c r="E489" t="s">
        <v>22</v>
      </c>
      <c r="F489" t="s">
        <v>61</v>
      </c>
      <c r="G489" t="s">
        <v>38</v>
      </c>
      <c r="H489">
        <v>1898</v>
      </c>
      <c r="I489">
        <v>1758.22</v>
      </c>
      <c r="J489">
        <v>1758.22</v>
      </c>
      <c r="K489">
        <v>139.78</v>
      </c>
      <c r="L489">
        <v>139.78</v>
      </c>
      <c r="M489" t="s">
        <v>19</v>
      </c>
      <c r="N489">
        <v>10</v>
      </c>
    </row>
    <row r="490" spans="1:14" x14ac:dyDescent="0.35">
      <c r="A490">
        <v>100489</v>
      </c>
      <c r="B490">
        <v>91609</v>
      </c>
      <c r="C490" t="s">
        <v>329</v>
      </c>
      <c r="D490" t="s">
        <v>21</v>
      </c>
      <c r="E490" t="s">
        <v>56</v>
      </c>
      <c r="F490" t="s">
        <v>32</v>
      </c>
      <c r="G490" t="s">
        <v>38</v>
      </c>
      <c r="H490">
        <v>6917</v>
      </c>
      <c r="I490">
        <v>5514.56</v>
      </c>
      <c r="J490">
        <v>5514.56</v>
      </c>
      <c r="K490">
        <v>1402.44</v>
      </c>
      <c r="L490">
        <v>1402.44</v>
      </c>
      <c r="M490" t="s">
        <v>19</v>
      </c>
      <c r="N490">
        <v>176</v>
      </c>
    </row>
    <row r="491" spans="1:14" x14ac:dyDescent="0.35">
      <c r="A491">
        <v>100490</v>
      </c>
      <c r="B491">
        <v>12851</v>
      </c>
      <c r="C491" t="s">
        <v>398</v>
      </c>
      <c r="D491" t="s">
        <v>30</v>
      </c>
      <c r="E491" t="s">
        <v>41</v>
      </c>
      <c r="F491" t="s">
        <v>17</v>
      </c>
      <c r="G491" t="s">
        <v>18</v>
      </c>
      <c r="H491">
        <v>7164</v>
      </c>
      <c r="I491">
        <v>5211.8</v>
      </c>
      <c r="J491">
        <v>2448.11</v>
      </c>
      <c r="K491">
        <v>1952.2</v>
      </c>
      <c r="L491">
        <v>4715.8900000000003</v>
      </c>
      <c r="M491" t="s">
        <v>39</v>
      </c>
      <c r="N491">
        <v>159</v>
      </c>
    </row>
    <row r="492" spans="1:14" x14ac:dyDescent="0.35">
      <c r="A492">
        <v>100491</v>
      </c>
      <c r="B492">
        <v>81869</v>
      </c>
      <c r="C492" t="s">
        <v>326</v>
      </c>
      <c r="D492" t="s">
        <v>30</v>
      </c>
      <c r="E492" t="s">
        <v>31</v>
      </c>
      <c r="F492" t="s">
        <v>54</v>
      </c>
      <c r="G492" t="s">
        <v>28</v>
      </c>
      <c r="H492">
        <v>8759</v>
      </c>
      <c r="I492">
        <v>5222.34</v>
      </c>
      <c r="J492">
        <v>4574.8100000000004</v>
      </c>
      <c r="K492">
        <v>3536.66</v>
      </c>
      <c r="L492">
        <v>4184.1899999999996</v>
      </c>
      <c r="M492" t="s">
        <v>39</v>
      </c>
      <c r="N492">
        <v>35</v>
      </c>
    </row>
    <row r="493" spans="1:14" x14ac:dyDescent="0.35">
      <c r="A493">
        <v>100492</v>
      </c>
      <c r="B493">
        <v>52029</v>
      </c>
      <c r="C493" t="s">
        <v>221</v>
      </c>
      <c r="D493" t="s">
        <v>21</v>
      </c>
      <c r="E493" t="s">
        <v>41</v>
      </c>
      <c r="F493" t="s">
        <v>54</v>
      </c>
      <c r="G493" t="s">
        <v>38</v>
      </c>
      <c r="H493">
        <v>21151</v>
      </c>
      <c r="I493">
        <v>18735.96</v>
      </c>
      <c r="J493">
        <v>0</v>
      </c>
      <c r="K493">
        <v>2415.04</v>
      </c>
      <c r="L493">
        <v>21151</v>
      </c>
      <c r="M493" t="s">
        <v>62</v>
      </c>
      <c r="N493">
        <v>26</v>
      </c>
    </row>
    <row r="494" spans="1:14" x14ac:dyDescent="0.35">
      <c r="A494">
        <v>100493</v>
      </c>
      <c r="B494">
        <v>44863</v>
      </c>
      <c r="C494" t="s">
        <v>399</v>
      </c>
      <c r="D494" t="s">
        <v>21</v>
      </c>
      <c r="E494" t="s">
        <v>22</v>
      </c>
      <c r="F494" t="s">
        <v>32</v>
      </c>
      <c r="G494" t="s">
        <v>47</v>
      </c>
      <c r="H494">
        <v>7548</v>
      </c>
      <c r="I494">
        <v>5354.53</v>
      </c>
      <c r="J494">
        <v>3609.67</v>
      </c>
      <c r="K494">
        <v>2193.4699999999998</v>
      </c>
      <c r="L494">
        <v>3938.33</v>
      </c>
      <c r="M494" t="s">
        <v>39</v>
      </c>
      <c r="N494">
        <v>7</v>
      </c>
    </row>
    <row r="495" spans="1:14" x14ac:dyDescent="0.35">
      <c r="A495">
        <v>100494</v>
      </c>
      <c r="B495">
        <v>87037</v>
      </c>
      <c r="C495" t="s">
        <v>400</v>
      </c>
      <c r="D495" t="s">
        <v>34</v>
      </c>
      <c r="E495" t="s">
        <v>16</v>
      </c>
      <c r="F495" t="s">
        <v>17</v>
      </c>
      <c r="G495" t="s">
        <v>45</v>
      </c>
      <c r="H495">
        <v>24873</v>
      </c>
      <c r="I495">
        <v>22733.42</v>
      </c>
      <c r="J495">
        <v>22733.42</v>
      </c>
      <c r="K495">
        <v>2139.58</v>
      </c>
      <c r="L495">
        <v>2139.58</v>
      </c>
      <c r="M495" t="s">
        <v>19</v>
      </c>
      <c r="N495">
        <v>165</v>
      </c>
    </row>
    <row r="496" spans="1:14" x14ac:dyDescent="0.35">
      <c r="A496">
        <v>100495</v>
      </c>
      <c r="B496">
        <v>74273</v>
      </c>
      <c r="C496" t="s">
        <v>401</v>
      </c>
      <c r="D496" t="s">
        <v>49</v>
      </c>
      <c r="E496" t="s">
        <v>43</v>
      </c>
      <c r="F496" t="s">
        <v>32</v>
      </c>
      <c r="G496" t="s">
        <v>28</v>
      </c>
      <c r="H496">
        <v>24922</v>
      </c>
      <c r="I496">
        <v>17848.580000000002</v>
      </c>
      <c r="J496">
        <v>0</v>
      </c>
      <c r="K496">
        <v>7073.42</v>
      </c>
      <c r="L496">
        <v>24922</v>
      </c>
      <c r="M496" t="s">
        <v>62</v>
      </c>
      <c r="N496">
        <v>76</v>
      </c>
    </row>
    <row r="497" spans="1:14" x14ac:dyDescent="0.35">
      <c r="A497">
        <v>100496</v>
      </c>
      <c r="B497">
        <v>27506</v>
      </c>
      <c r="C497" t="s">
        <v>402</v>
      </c>
      <c r="D497" t="s">
        <v>30</v>
      </c>
      <c r="E497" t="s">
        <v>37</v>
      </c>
      <c r="F497" t="s">
        <v>61</v>
      </c>
      <c r="G497" t="s">
        <v>38</v>
      </c>
      <c r="H497">
        <v>15121</v>
      </c>
      <c r="I497">
        <v>10097.120000000001</v>
      </c>
      <c r="J497">
        <v>7291.04</v>
      </c>
      <c r="K497">
        <v>5023.88</v>
      </c>
      <c r="L497">
        <v>7829.96</v>
      </c>
      <c r="M497" t="s">
        <v>39</v>
      </c>
      <c r="N497">
        <v>109</v>
      </c>
    </row>
    <row r="498" spans="1:14" x14ac:dyDescent="0.35">
      <c r="A498">
        <v>100497</v>
      </c>
      <c r="B498">
        <v>95852</v>
      </c>
      <c r="C498" t="s">
        <v>399</v>
      </c>
      <c r="D498" t="s">
        <v>15</v>
      </c>
      <c r="E498" t="s">
        <v>43</v>
      </c>
      <c r="F498" t="s">
        <v>54</v>
      </c>
      <c r="G498" t="s">
        <v>38</v>
      </c>
      <c r="H498">
        <v>5481</v>
      </c>
      <c r="I498">
        <v>4892.8</v>
      </c>
      <c r="J498">
        <v>325.89999999999998</v>
      </c>
      <c r="K498">
        <v>588.20000000000005</v>
      </c>
      <c r="L498">
        <v>5155.1000000000004</v>
      </c>
      <c r="M498" t="s">
        <v>50</v>
      </c>
      <c r="N498">
        <v>91</v>
      </c>
    </row>
    <row r="499" spans="1:14" x14ac:dyDescent="0.35">
      <c r="A499">
        <v>100498</v>
      </c>
      <c r="B499">
        <v>69752</v>
      </c>
      <c r="C499" t="s">
        <v>84</v>
      </c>
      <c r="D499" t="s">
        <v>65</v>
      </c>
      <c r="E499" t="s">
        <v>41</v>
      </c>
      <c r="F499" t="s">
        <v>35</v>
      </c>
      <c r="G499" t="s">
        <v>24</v>
      </c>
      <c r="H499">
        <v>9671</v>
      </c>
      <c r="I499">
        <v>8885.2099999999991</v>
      </c>
      <c r="J499">
        <v>8885.2099999999991</v>
      </c>
      <c r="K499">
        <v>785.79</v>
      </c>
      <c r="L499">
        <v>785.79</v>
      </c>
      <c r="M499" t="s">
        <v>19</v>
      </c>
      <c r="N499">
        <v>21</v>
      </c>
    </row>
    <row r="500" spans="1:14" x14ac:dyDescent="0.35">
      <c r="A500">
        <v>100499</v>
      </c>
      <c r="B500">
        <v>48902</v>
      </c>
      <c r="C500" t="s">
        <v>289</v>
      </c>
      <c r="D500" t="s">
        <v>30</v>
      </c>
      <c r="E500" t="s">
        <v>37</v>
      </c>
      <c r="F500" t="s">
        <v>35</v>
      </c>
      <c r="G500" t="s">
        <v>72</v>
      </c>
      <c r="H500">
        <v>20326</v>
      </c>
      <c r="I500">
        <v>15793.71</v>
      </c>
      <c r="J500">
        <v>15793.71</v>
      </c>
      <c r="K500">
        <v>4532.29</v>
      </c>
      <c r="L500">
        <v>4532.29</v>
      </c>
      <c r="M500" t="s">
        <v>19</v>
      </c>
      <c r="N500">
        <v>180</v>
      </c>
    </row>
    <row r="501" spans="1:14" x14ac:dyDescent="0.35">
      <c r="A501">
        <v>100500</v>
      </c>
      <c r="B501">
        <v>90938</v>
      </c>
      <c r="C501" t="s">
        <v>403</v>
      </c>
      <c r="D501" t="s">
        <v>34</v>
      </c>
      <c r="E501" t="s">
        <v>56</v>
      </c>
      <c r="F501" t="s">
        <v>17</v>
      </c>
      <c r="G501" t="s">
        <v>24</v>
      </c>
      <c r="H501">
        <v>9940</v>
      </c>
      <c r="I501">
        <v>7544.08</v>
      </c>
      <c r="J501">
        <v>7544.08</v>
      </c>
      <c r="K501">
        <v>2395.92</v>
      </c>
      <c r="L501">
        <v>2395.92</v>
      </c>
      <c r="M501" t="s">
        <v>19</v>
      </c>
      <c r="N501">
        <v>60</v>
      </c>
    </row>
    <row r="502" spans="1:14" x14ac:dyDescent="0.35">
      <c r="A502">
        <v>100501</v>
      </c>
      <c r="B502">
        <v>20350</v>
      </c>
      <c r="C502" t="s">
        <v>359</v>
      </c>
      <c r="D502" t="s">
        <v>52</v>
      </c>
      <c r="E502" t="s">
        <v>31</v>
      </c>
      <c r="F502" t="s">
        <v>32</v>
      </c>
      <c r="G502" t="s">
        <v>72</v>
      </c>
      <c r="H502">
        <v>616</v>
      </c>
      <c r="I502">
        <v>389.02</v>
      </c>
      <c r="J502">
        <v>389.02</v>
      </c>
      <c r="K502">
        <v>226.98</v>
      </c>
      <c r="L502">
        <v>226.98</v>
      </c>
      <c r="M502" t="s">
        <v>19</v>
      </c>
      <c r="N502">
        <v>83</v>
      </c>
    </row>
    <row r="503" spans="1:14" x14ac:dyDescent="0.35">
      <c r="A503">
        <v>100502</v>
      </c>
      <c r="B503">
        <v>28711</v>
      </c>
      <c r="C503" t="s">
        <v>404</v>
      </c>
      <c r="D503" t="s">
        <v>49</v>
      </c>
      <c r="E503" t="s">
        <v>43</v>
      </c>
      <c r="F503" t="s">
        <v>27</v>
      </c>
      <c r="G503" t="s">
        <v>28</v>
      </c>
      <c r="H503">
        <v>9970</v>
      </c>
      <c r="I503">
        <v>8681.39</v>
      </c>
      <c r="J503">
        <v>8681.39</v>
      </c>
      <c r="K503">
        <v>1288.6099999999999</v>
      </c>
      <c r="L503">
        <v>1288.6099999999999</v>
      </c>
      <c r="M503" t="s">
        <v>19</v>
      </c>
      <c r="N503">
        <v>158</v>
      </c>
    </row>
    <row r="504" spans="1:14" x14ac:dyDescent="0.35">
      <c r="A504">
        <v>100503</v>
      </c>
      <c r="B504">
        <v>93643</v>
      </c>
      <c r="C504" t="s">
        <v>159</v>
      </c>
      <c r="D504" t="s">
        <v>65</v>
      </c>
      <c r="E504" t="s">
        <v>56</v>
      </c>
      <c r="F504" t="s">
        <v>17</v>
      </c>
      <c r="G504" t="s">
        <v>72</v>
      </c>
      <c r="H504">
        <v>11279</v>
      </c>
      <c r="I504">
        <v>8326.7199999999993</v>
      </c>
      <c r="J504">
        <v>8326.7199999999993</v>
      </c>
      <c r="K504">
        <v>2952.28</v>
      </c>
      <c r="L504">
        <v>2952.28</v>
      </c>
      <c r="M504" t="s">
        <v>19</v>
      </c>
      <c r="N504">
        <v>150</v>
      </c>
    </row>
    <row r="505" spans="1:14" x14ac:dyDescent="0.35">
      <c r="A505">
        <v>100504</v>
      </c>
      <c r="B505">
        <v>24263</v>
      </c>
      <c r="C505" t="s">
        <v>283</v>
      </c>
      <c r="D505" t="s">
        <v>49</v>
      </c>
      <c r="E505" t="s">
        <v>31</v>
      </c>
      <c r="F505" t="s">
        <v>32</v>
      </c>
      <c r="G505" t="s">
        <v>24</v>
      </c>
      <c r="H505">
        <v>11524</v>
      </c>
      <c r="I505">
        <v>9836.5400000000009</v>
      </c>
      <c r="J505">
        <v>9836.5400000000009</v>
      </c>
      <c r="K505">
        <v>1687.46</v>
      </c>
      <c r="L505">
        <v>1687.46</v>
      </c>
      <c r="M505" t="s">
        <v>19</v>
      </c>
      <c r="N505">
        <v>34</v>
      </c>
    </row>
    <row r="506" spans="1:14" x14ac:dyDescent="0.35">
      <c r="A506">
        <v>100505</v>
      </c>
      <c r="B506">
        <v>12008</v>
      </c>
      <c r="C506" t="s">
        <v>74</v>
      </c>
      <c r="D506" t="s">
        <v>49</v>
      </c>
      <c r="E506" t="s">
        <v>26</v>
      </c>
      <c r="F506" t="s">
        <v>44</v>
      </c>
      <c r="G506" t="s">
        <v>45</v>
      </c>
      <c r="H506">
        <v>3441</v>
      </c>
      <c r="I506">
        <v>2646.57</v>
      </c>
      <c r="J506">
        <v>1201.97</v>
      </c>
      <c r="K506">
        <v>794.43</v>
      </c>
      <c r="L506">
        <v>2239.0300000000002</v>
      </c>
      <c r="M506" t="s">
        <v>39</v>
      </c>
      <c r="N506">
        <v>84</v>
      </c>
    </row>
    <row r="507" spans="1:14" x14ac:dyDescent="0.35">
      <c r="A507">
        <v>100506</v>
      </c>
      <c r="B507">
        <v>23685</v>
      </c>
      <c r="C507" t="s">
        <v>405</v>
      </c>
      <c r="D507" t="s">
        <v>34</v>
      </c>
      <c r="E507" t="s">
        <v>43</v>
      </c>
      <c r="F507" t="s">
        <v>23</v>
      </c>
      <c r="G507" t="s">
        <v>28</v>
      </c>
      <c r="H507">
        <v>20298</v>
      </c>
      <c r="I507">
        <v>14606.92</v>
      </c>
      <c r="J507">
        <v>0</v>
      </c>
      <c r="K507">
        <v>5691.08</v>
      </c>
      <c r="L507">
        <v>20298</v>
      </c>
      <c r="M507" t="s">
        <v>62</v>
      </c>
      <c r="N507">
        <v>36</v>
      </c>
    </row>
    <row r="508" spans="1:14" x14ac:dyDescent="0.35">
      <c r="A508">
        <v>100507</v>
      </c>
      <c r="B508">
        <v>38337</v>
      </c>
      <c r="C508" t="s">
        <v>381</v>
      </c>
      <c r="D508" t="s">
        <v>52</v>
      </c>
      <c r="E508" t="s">
        <v>43</v>
      </c>
      <c r="F508" t="s">
        <v>17</v>
      </c>
      <c r="G508" t="s">
        <v>18</v>
      </c>
      <c r="H508">
        <v>3138</v>
      </c>
      <c r="I508">
        <v>2175.73</v>
      </c>
      <c r="J508">
        <v>2175.73</v>
      </c>
      <c r="K508">
        <v>962.27</v>
      </c>
      <c r="L508">
        <v>962.27</v>
      </c>
      <c r="M508" t="s">
        <v>19</v>
      </c>
      <c r="N508">
        <v>161</v>
      </c>
    </row>
    <row r="509" spans="1:14" x14ac:dyDescent="0.35">
      <c r="A509">
        <v>100508</v>
      </c>
      <c r="B509">
        <v>86453</v>
      </c>
      <c r="C509" t="s">
        <v>406</v>
      </c>
      <c r="D509" t="s">
        <v>30</v>
      </c>
      <c r="E509" t="s">
        <v>41</v>
      </c>
      <c r="F509" t="s">
        <v>61</v>
      </c>
      <c r="G509" t="s">
        <v>45</v>
      </c>
      <c r="H509">
        <v>24431</v>
      </c>
      <c r="I509">
        <v>18555.7</v>
      </c>
      <c r="J509">
        <v>18555.7</v>
      </c>
      <c r="K509">
        <v>5875.3</v>
      </c>
      <c r="L509">
        <v>5875.3</v>
      </c>
      <c r="M509" t="s">
        <v>19</v>
      </c>
      <c r="N509">
        <v>46</v>
      </c>
    </row>
    <row r="510" spans="1:14" x14ac:dyDescent="0.35">
      <c r="A510">
        <v>100509</v>
      </c>
      <c r="B510">
        <v>21566</v>
      </c>
      <c r="C510" t="s">
        <v>201</v>
      </c>
      <c r="D510" t="s">
        <v>52</v>
      </c>
      <c r="E510" t="s">
        <v>16</v>
      </c>
      <c r="F510" t="s">
        <v>54</v>
      </c>
      <c r="G510" t="s">
        <v>45</v>
      </c>
      <c r="H510">
        <v>2559</v>
      </c>
      <c r="I510">
        <v>1828.58</v>
      </c>
      <c r="J510">
        <v>1828.58</v>
      </c>
      <c r="K510">
        <v>730.42</v>
      </c>
      <c r="L510">
        <v>730.42</v>
      </c>
      <c r="M510" t="s">
        <v>19</v>
      </c>
      <c r="N510">
        <v>86</v>
      </c>
    </row>
    <row r="511" spans="1:14" x14ac:dyDescent="0.35">
      <c r="A511">
        <v>100510</v>
      </c>
      <c r="B511">
        <v>64869</v>
      </c>
      <c r="C511" t="s">
        <v>159</v>
      </c>
      <c r="D511" t="s">
        <v>65</v>
      </c>
      <c r="E511" t="s">
        <v>26</v>
      </c>
      <c r="F511" t="s">
        <v>54</v>
      </c>
      <c r="G511" t="s">
        <v>72</v>
      </c>
      <c r="H511">
        <v>3562</v>
      </c>
      <c r="I511">
        <v>1959.3</v>
      </c>
      <c r="J511">
        <v>1959.3</v>
      </c>
      <c r="K511">
        <v>1602.7</v>
      </c>
      <c r="L511">
        <v>1602.7</v>
      </c>
      <c r="M511" t="s">
        <v>19</v>
      </c>
      <c r="N511">
        <v>62</v>
      </c>
    </row>
    <row r="512" spans="1:14" x14ac:dyDescent="0.35">
      <c r="A512">
        <v>100511</v>
      </c>
      <c r="B512">
        <v>29841</v>
      </c>
      <c r="C512" t="s">
        <v>407</v>
      </c>
      <c r="D512" t="s">
        <v>34</v>
      </c>
      <c r="E512" t="s">
        <v>26</v>
      </c>
      <c r="F512" t="s">
        <v>17</v>
      </c>
      <c r="G512" t="s">
        <v>72</v>
      </c>
      <c r="H512">
        <v>11670</v>
      </c>
      <c r="I512">
        <v>9670.34</v>
      </c>
      <c r="J512">
        <v>9670.34</v>
      </c>
      <c r="K512">
        <v>1999.66</v>
      </c>
      <c r="L512">
        <v>1999.66</v>
      </c>
      <c r="M512" t="s">
        <v>19</v>
      </c>
      <c r="N512">
        <v>34</v>
      </c>
    </row>
    <row r="513" spans="1:14" x14ac:dyDescent="0.35">
      <c r="A513">
        <v>100512</v>
      </c>
      <c r="B513">
        <v>16022</v>
      </c>
      <c r="C513" t="s">
        <v>340</v>
      </c>
      <c r="D513" t="s">
        <v>15</v>
      </c>
      <c r="E513" t="s">
        <v>22</v>
      </c>
      <c r="F513" t="s">
        <v>61</v>
      </c>
      <c r="G513" t="s">
        <v>72</v>
      </c>
      <c r="H513">
        <v>16303</v>
      </c>
      <c r="I513">
        <v>14128.5</v>
      </c>
      <c r="J513">
        <v>1529.52</v>
      </c>
      <c r="K513">
        <v>2174.5</v>
      </c>
      <c r="L513">
        <v>14773.48</v>
      </c>
      <c r="M513" t="s">
        <v>50</v>
      </c>
      <c r="N513">
        <v>49</v>
      </c>
    </row>
    <row r="514" spans="1:14" x14ac:dyDescent="0.35">
      <c r="A514">
        <v>100513</v>
      </c>
      <c r="B514">
        <v>60441</v>
      </c>
      <c r="C514" t="s">
        <v>408</v>
      </c>
      <c r="D514" t="s">
        <v>49</v>
      </c>
      <c r="E514" t="s">
        <v>37</v>
      </c>
      <c r="F514" t="s">
        <v>44</v>
      </c>
      <c r="G514" t="s">
        <v>18</v>
      </c>
      <c r="H514">
        <v>12464</v>
      </c>
      <c r="I514">
        <v>8335.68</v>
      </c>
      <c r="J514">
        <v>7227.23</v>
      </c>
      <c r="K514">
        <v>4128.32</v>
      </c>
      <c r="L514">
        <v>5236.7700000000004</v>
      </c>
      <c r="M514" t="s">
        <v>39</v>
      </c>
      <c r="N514">
        <v>16</v>
      </c>
    </row>
    <row r="515" spans="1:14" x14ac:dyDescent="0.35">
      <c r="A515">
        <v>100514</v>
      </c>
      <c r="B515">
        <v>38294</v>
      </c>
      <c r="C515" t="s">
        <v>107</v>
      </c>
      <c r="D515" t="s">
        <v>21</v>
      </c>
      <c r="E515" t="s">
        <v>37</v>
      </c>
      <c r="F515" t="s">
        <v>61</v>
      </c>
      <c r="G515" t="s">
        <v>45</v>
      </c>
      <c r="H515">
        <v>11391</v>
      </c>
      <c r="I515">
        <v>10073.74</v>
      </c>
      <c r="J515">
        <v>1977.9</v>
      </c>
      <c r="K515">
        <v>1317.26</v>
      </c>
      <c r="L515">
        <v>9413.1</v>
      </c>
      <c r="M515" t="s">
        <v>50</v>
      </c>
      <c r="N515">
        <v>18</v>
      </c>
    </row>
    <row r="516" spans="1:14" x14ac:dyDescent="0.35">
      <c r="A516">
        <v>100515</v>
      </c>
      <c r="B516">
        <v>32281</v>
      </c>
      <c r="C516" t="s">
        <v>409</v>
      </c>
      <c r="D516" t="s">
        <v>65</v>
      </c>
      <c r="E516" t="s">
        <v>56</v>
      </c>
      <c r="F516" t="s">
        <v>54</v>
      </c>
      <c r="G516" t="s">
        <v>24</v>
      </c>
      <c r="H516">
        <v>768</v>
      </c>
      <c r="I516">
        <v>507.58</v>
      </c>
      <c r="J516">
        <v>363.17</v>
      </c>
      <c r="K516">
        <v>260.42</v>
      </c>
      <c r="L516">
        <v>404.83</v>
      </c>
      <c r="M516" t="s">
        <v>39</v>
      </c>
      <c r="N516">
        <v>47</v>
      </c>
    </row>
    <row r="517" spans="1:14" x14ac:dyDescent="0.35">
      <c r="A517">
        <v>100516</v>
      </c>
      <c r="B517">
        <v>16242</v>
      </c>
      <c r="C517" t="s">
        <v>255</v>
      </c>
      <c r="D517" t="s">
        <v>65</v>
      </c>
      <c r="E517" t="s">
        <v>43</v>
      </c>
      <c r="F517" t="s">
        <v>35</v>
      </c>
      <c r="G517" t="s">
        <v>72</v>
      </c>
      <c r="H517">
        <v>22400</v>
      </c>
      <c r="I517">
        <v>19983.54</v>
      </c>
      <c r="J517">
        <v>19983.54</v>
      </c>
      <c r="K517">
        <v>2416.46</v>
      </c>
      <c r="L517">
        <v>2416.46</v>
      </c>
      <c r="M517" t="s">
        <v>19</v>
      </c>
      <c r="N517">
        <v>0</v>
      </c>
    </row>
    <row r="518" spans="1:14" x14ac:dyDescent="0.35">
      <c r="A518">
        <v>100517</v>
      </c>
      <c r="B518">
        <v>64154</v>
      </c>
      <c r="C518" t="s">
        <v>384</v>
      </c>
      <c r="D518" t="s">
        <v>34</v>
      </c>
      <c r="E518" t="s">
        <v>41</v>
      </c>
      <c r="F518" t="s">
        <v>32</v>
      </c>
      <c r="G518" t="s">
        <v>45</v>
      </c>
      <c r="H518">
        <v>2205</v>
      </c>
      <c r="I518">
        <v>1885.72</v>
      </c>
      <c r="J518">
        <v>0</v>
      </c>
      <c r="K518">
        <v>319.27999999999997</v>
      </c>
      <c r="L518">
        <v>2205</v>
      </c>
      <c r="M518" t="s">
        <v>62</v>
      </c>
      <c r="N518">
        <v>144</v>
      </c>
    </row>
    <row r="519" spans="1:14" x14ac:dyDescent="0.35">
      <c r="A519">
        <v>100518</v>
      </c>
      <c r="B519">
        <v>10567</v>
      </c>
      <c r="C519" t="s">
        <v>410</v>
      </c>
      <c r="D519" t="s">
        <v>65</v>
      </c>
      <c r="E519" t="s">
        <v>41</v>
      </c>
      <c r="F519" t="s">
        <v>35</v>
      </c>
      <c r="G519" t="s">
        <v>47</v>
      </c>
      <c r="H519">
        <v>2285</v>
      </c>
      <c r="I519">
        <v>1805.72</v>
      </c>
      <c r="J519">
        <v>1805.72</v>
      </c>
      <c r="K519">
        <v>479.28</v>
      </c>
      <c r="L519">
        <v>479.28</v>
      </c>
      <c r="M519" t="s">
        <v>19</v>
      </c>
      <c r="N519">
        <v>168</v>
      </c>
    </row>
    <row r="520" spans="1:14" x14ac:dyDescent="0.35">
      <c r="A520">
        <v>100519</v>
      </c>
      <c r="B520">
        <v>97224</v>
      </c>
      <c r="C520" t="s">
        <v>411</v>
      </c>
      <c r="D520" t="s">
        <v>15</v>
      </c>
      <c r="E520" t="s">
        <v>43</v>
      </c>
      <c r="F520" t="s">
        <v>32</v>
      </c>
      <c r="G520" t="s">
        <v>72</v>
      </c>
      <c r="H520">
        <v>590</v>
      </c>
      <c r="I520">
        <v>460.94</v>
      </c>
      <c r="J520">
        <v>460.94</v>
      </c>
      <c r="K520">
        <v>129.06</v>
      </c>
      <c r="L520">
        <v>129.06</v>
      </c>
      <c r="M520" t="s">
        <v>19</v>
      </c>
      <c r="N520">
        <v>70</v>
      </c>
    </row>
    <row r="521" spans="1:14" x14ac:dyDescent="0.35">
      <c r="A521">
        <v>100520</v>
      </c>
      <c r="B521">
        <v>77436</v>
      </c>
      <c r="C521" t="s">
        <v>168</v>
      </c>
      <c r="D521" t="s">
        <v>65</v>
      </c>
      <c r="E521" t="s">
        <v>43</v>
      </c>
      <c r="F521" t="s">
        <v>54</v>
      </c>
      <c r="G521" t="s">
        <v>47</v>
      </c>
      <c r="H521">
        <v>18947</v>
      </c>
      <c r="I521">
        <v>16293.56</v>
      </c>
      <c r="J521">
        <v>16293.56</v>
      </c>
      <c r="K521">
        <v>2653.44</v>
      </c>
      <c r="L521">
        <v>2653.44</v>
      </c>
      <c r="M521" t="s">
        <v>19</v>
      </c>
      <c r="N521">
        <v>85</v>
      </c>
    </row>
    <row r="522" spans="1:14" x14ac:dyDescent="0.35">
      <c r="A522">
        <v>100521</v>
      </c>
      <c r="B522">
        <v>56318</v>
      </c>
      <c r="C522" t="s">
        <v>87</v>
      </c>
      <c r="D522" t="s">
        <v>65</v>
      </c>
      <c r="E522" t="s">
        <v>41</v>
      </c>
      <c r="F522" t="s">
        <v>61</v>
      </c>
      <c r="G522" t="s">
        <v>72</v>
      </c>
      <c r="H522">
        <v>17845</v>
      </c>
      <c r="I522">
        <v>15139</v>
      </c>
      <c r="J522">
        <v>15139</v>
      </c>
      <c r="K522">
        <v>2706</v>
      </c>
      <c r="L522">
        <v>2706</v>
      </c>
      <c r="M522" t="s">
        <v>19</v>
      </c>
      <c r="N522">
        <v>14</v>
      </c>
    </row>
    <row r="523" spans="1:14" x14ac:dyDescent="0.35">
      <c r="A523">
        <v>100522</v>
      </c>
      <c r="B523">
        <v>85083</v>
      </c>
      <c r="C523" t="s">
        <v>305</v>
      </c>
      <c r="D523" t="s">
        <v>65</v>
      </c>
      <c r="E523" t="s">
        <v>31</v>
      </c>
      <c r="F523" t="s">
        <v>35</v>
      </c>
      <c r="G523" t="s">
        <v>38</v>
      </c>
      <c r="H523">
        <v>8201</v>
      </c>
      <c r="I523">
        <v>5759.04</v>
      </c>
      <c r="J523">
        <v>3342.29</v>
      </c>
      <c r="K523">
        <v>2441.96</v>
      </c>
      <c r="L523">
        <v>4858.71</v>
      </c>
      <c r="M523" t="s">
        <v>39</v>
      </c>
      <c r="N523">
        <v>0</v>
      </c>
    </row>
    <row r="524" spans="1:14" x14ac:dyDescent="0.35">
      <c r="A524">
        <v>100523</v>
      </c>
      <c r="B524">
        <v>55636</v>
      </c>
      <c r="C524" t="s">
        <v>412</v>
      </c>
      <c r="D524" t="s">
        <v>21</v>
      </c>
      <c r="E524" t="s">
        <v>31</v>
      </c>
      <c r="F524" t="s">
        <v>32</v>
      </c>
      <c r="G524" t="s">
        <v>28</v>
      </c>
      <c r="H524">
        <v>10211</v>
      </c>
      <c r="I524">
        <v>5762.84</v>
      </c>
      <c r="J524">
        <v>4571.95</v>
      </c>
      <c r="K524">
        <v>4448.16</v>
      </c>
      <c r="L524">
        <v>5639.05</v>
      </c>
      <c r="M524" t="s">
        <v>39</v>
      </c>
      <c r="N524">
        <v>78</v>
      </c>
    </row>
    <row r="525" spans="1:14" x14ac:dyDescent="0.35">
      <c r="A525">
        <v>100524</v>
      </c>
      <c r="B525">
        <v>21230</v>
      </c>
      <c r="C525" t="s">
        <v>407</v>
      </c>
      <c r="D525" t="s">
        <v>21</v>
      </c>
      <c r="E525" t="s">
        <v>26</v>
      </c>
      <c r="F525" t="s">
        <v>17</v>
      </c>
      <c r="G525" t="s">
        <v>28</v>
      </c>
      <c r="H525">
        <v>8872</v>
      </c>
      <c r="I525">
        <v>5124.1400000000003</v>
      </c>
      <c r="J525">
        <v>5124.1400000000003</v>
      </c>
      <c r="K525">
        <v>3747.86</v>
      </c>
      <c r="L525">
        <v>3747.86</v>
      </c>
      <c r="M525" t="s">
        <v>19</v>
      </c>
      <c r="N525">
        <v>103</v>
      </c>
    </row>
    <row r="526" spans="1:14" x14ac:dyDescent="0.35">
      <c r="A526">
        <v>100525</v>
      </c>
      <c r="B526">
        <v>54599</v>
      </c>
      <c r="C526" t="s">
        <v>83</v>
      </c>
      <c r="D526" t="s">
        <v>49</v>
      </c>
      <c r="E526" t="s">
        <v>26</v>
      </c>
      <c r="F526" t="s">
        <v>61</v>
      </c>
      <c r="G526" t="s">
        <v>18</v>
      </c>
      <c r="H526">
        <v>7206</v>
      </c>
      <c r="I526">
        <v>6720.12</v>
      </c>
      <c r="J526">
        <v>6720.12</v>
      </c>
      <c r="K526">
        <v>485.88</v>
      </c>
      <c r="L526">
        <v>485.88</v>
      </c>
      <c r="M526" t="s">
        <v>19</v>
      </c>
      <c r="N526">
        <v>14</v>
      </c>
    </row>
    <row r="527" spans="1:14" x14ac:dyDescent="0.35">
      <c r="A527">
        <v>100526</v>
      </c>
      <c r="B527">
        <v>42819</v>
      </c>
      <c r="C527" t="s">
        <v>413</v>
      </c>
      <c r="D527" t="s">
        <v>34</v>
      </c>
      <c r="E527" t="s">
        <v>22</v>
      </c>
      <c r="F527" t="s">
        <v>32</v>
      </c>
      <c r="G527" t="s">
        <v>18</v>
      </c>
      <c r="H527">
        <v>4228</v>
      </c>
      <c r="I527">
        <v>3071</v>
      </c>
      <c r="J527">
        <v>1257.95</v>
      </c>
      <c r="K527">
        <v>1157</v>
      </c>
      <c r="L527">
        <v>2970.05</v>
      </c>
      <c r="M527" t="s">
        <v>39</v>
      </c>
      <c r="N527">
        <v>47</v>
      </c>
    </row>
    <row r="528" spans="1:14" x14ac:dyDescent="0.35">
      <c r="A528">
        <v>100527</v>
      </c>
      <c r="B528">
        <v>50546</v>
      </c>
      <c r="C528" t="s">
        <v>204</v>
      </c>
      <c r="D528" t="s">
        <v>15</v>
      </c>
      <c r="E528" t="s">
        <v>37</v>
      </c>
      <c r="F528" t="s">
        <v>44</v>
      </c>
      <c r="G528" t="s">
        <v>38</v>
      </c>
      <c r="H528">
        <v>764</v>
      </c>
      <c r="I528">
        <v>526.47</v>
      </c>
      <c r="J528">
        <v>526.47</v>
      </c>
      <c r="K528">
        <v>237.53</v>
      </c>
      <c r="L528">
        <v>237.53</v>
      </c>
      <c r="M528" t="s">
        <v>19</v>
      </c>
      <c r="N528">
        <v>177</v>
      </c>
    </row>
    <row r="529" spans="1:14" x14ac:dyDescent="0.35">
      <c r="A529">
        <v>100528</v>
      </c>
      <c r="B529">
        <v>49450</v>
      </c>
      <c r="C529" t="s">
        <v>260</v>
      </c>
      <c r="D529" t="s">
        <v>15</v>
      </c>
      <c r="E529" t="s">
        <v>43</v>
      </c>
      <c r="F529" t="s">
        <v>23</v>
      </c>
      <c r="G529" t="s">
        <v>45</v>
      </c>
      <c r="H529">
        <v>5814</v>
      </c>
      <c r="I529">
        <v>4481.0600000000004</v>
      </c>
      <c r="J529">
        <v>2590.17</v>
      </c>
      <c r="K529">
        <v>1332.94</v>
      </c>
      <c r="L529">
        <v>3223.83</v>
      </c>
      <c r="M529" t="s">
        <v>39</v>
      </c>
      <c r="N529">
        <v>86</v>
      </c>
    </row>
    <row r="530" spans="1:14" x14ac:dyDescent="0.35">
      <c r="A530">
        <v>100529</v>
      </c>
      <c r="B530">
        <v>77242</v>
      </c>
      <c r="C530" t="s">
        <v>206</v>
      </c>
      <c r="D530" t="s">
        <v>52</v>
      </c>
      <c r="E530" t="s">
        <v>43</v>
      </c>
      <c r="F530" t="s">
        <v>61</v>
      </c>
      <c r="G530" t="s">
        <v>28</v>
      </c>
      <c r="H530">
        <v>8812</v>
      </c>
      <c r="I530">
        <v>7469.1</v>
      </c>
      <c r="J530">
        <v>7469.1</v>
      </c>
      <c r="K530">
        <v>1342.9</v>
      </c>
      <c r="L530">
        <v>1342.9</v>
      </c>
      <c r="M530" t="s">
        <v>19</v>
      </c>
      <c r="N530">
        <v>57</v>
      </c>
    </row>
    <row r="531" spans="1:14" x14ac:dyDescent="0.35">
      <c r="A531">
        <v>100530</v>
      </c>
      <c r="B531">
        <v>19616</v>
      </c>
      <c r="C531" t="s">
        <v>74</v>
      </c>
      <c r="D531" t="s">
        <v>34</v>
      </c>
      <c r="E531" t="s">
        <v>56</v>
      </c>
      <c r="F531" t="s">
        <v>44</v>
      </c>
      <c r="G531" t="s">
        <v>38</v>
      </c>
      <c r="H531">
        <v>12047</v>
      </c>
      <c r="I531">
        <v>10847.58</v>
      </c>
      <c r="J531">
        <v>8775.52</v>
      </c>
      <c r="K531">
        <v>1199.42</v>
      </c>
      <c r="L531">
        <v>3271.48</v>
      </c>
      <c r="M531" t="s">
        <v>39</v>
      </c>
      <c r="N531">
        <v>173</v>
      </c>
    </row>
    <row r="532" spans="1:14" x14ac:dyDescent="0.35">
      <c r="A532">
        <v>100531</v>
      </c>
      <c r="B532">
        <v>72556</v>
      </c>
      <c r="C532" t="s">
        <v>127</v>
      </c>
      <c r="D532" t="s">
        <v>21</v>
      </c>
      <c r="E532" t="s">
        <v>26</v>
      </c>
      <c r="F532" t="s">
        <v>27</v>
      </c>
      <c r="G532" t="s">
        <v>72</v>
      </c>
      <c r="H532">
        <v>5985</v>
      </c>
      <c r="I532">
        <v>4916.03</v>
      </c>
      <c r="J532">
        <v>4916.03</v>
      </c>
      <c r="K532">
        <v>1068.97</v>
      </c>
      <c r="L532">
        <v>1068.97</v>
      </c>
      <c r="M532" t="s">
        <v>19</v>
      </c>
      <c r="N532">
        <v>39</v>
      </c>
    </row>
    <row r="533" spans="1:14" x14ac:dyDescent="0.35">
      <c r="A533">
        <v>100532</v>
      </c>
      <c r="B533">
        <v>40650</v>
      </c>
      <c r="C533" t="s">
        <v>340</v>
      </c>
      <c r="D533" t="s">
        <v>15</v>
      </c>
      <c r="E533" t="s">
        <v>41</v>
      </c>
      <c r="F533" t="s">
        <v>23</v>
      </c>
      <c r="G533" t="s">
        <v>18</v>
      </c>
      <c r="H533">
        <v>11403</v>
      </c>
      <c r="I533">
        <v>10510.06</v>
      </c>
      <c r="J533">
        <v>10510.06</v>
      </c>
      <c r="K533">
        <v>892.94</v>
      </c>
      <c r="L533">
        <v>892.94</v>
      </c>
      <c r="M533" t="s">
        <v>19</v>
      </c>
      <c r="N533">
        <v>84</v>
      </c>
    </row>
    <row r="534" spans="1:14" x14ac:dyDescent="0.35">
      <c r="A534">
        <v>100533</v>
      </c>
      <c r="B534">
        <v>17706</v>
      </c>
      <c r="C534" t="s">
        <v>414</v>
      </c>
      <c r="D534" t="s">
        <v>65</v>
      </c>
      <c r="E534" t="s">
        <v>37</v>
      </c>
      <c r="F534" t="s">
        <v>61</v>
      </c>
      <c r="G534" t="s">
        <v>72</v>
      </c>
      <c r="H534">
        <v>4603</v>
      </c>
      <c r="I534">
        <v>3962.48</v>
      </c>
      <c r="J534">
        <v>0</v>
      </c>
      <c r="K534">
        <v>640.52</v>
      </c>
      <c r="L534">
        <v>4603</v>
      </c>
      <c r="M534" t="s">
        <v>62</v>
      </c>
      <c r="N534">
        <v>9</v>
      </c>
    </row>
    <row r="535" spans="1:14" x14ac:dyDescent="0.35">
      <c r="A535">
        <v>100534</v>
      </c>
      <c r="B535">
        <v>93214</v>
      </c>
      <c r="C535" t="s">
        <v>292</v>
      </c>
      <c r="D535" t="s">
        <v>49</v>
      </c>
      <c r="E535" t="s">
        <v>43</v>
      </c>
      <c r="F535" t="s">
        <v>54</v>
      </c>
      <c r="G535" t="s">
        <v>38</v>
      </c>
      <c r="H535">
        <v>12652</v>
      </c>
      <c r="I535">
        <v>7077.1</v>
      </c>
      <c r="J535">
        <v>7077.1</v>
      </c>
      <c r="K535">
        <v>5574.9</v>
      </c>
      <c r="L535">
        <v>5574.9</v>
      </c>
      <c r="M535" t="s">
        <v>19</v>
      </c>
      <c r="N535">
        <v>25</v>
      </c>
    </row>
    <row r="536" spans="1:14" x14ac:dyDescent="0.35">
      <c r="A536">
        <v>100535</v>
      </c>
      <c r="B536">
        <v>19414</v>
      </c>
      <c r="C536" t="s">
        <v>212</v>
      </c>
      <c r="D536" t="s">
        <v>65</v>
      </c>
      <c r="E536" t="s">
        <v>16</v>
      </c>
      <c r="F536" t="s">
        <v>54</v>
      </c>
      <c r="G536" t="s">
        <v>24</v>
      </c>
      <c r="H536">
        <v>17152</v>
      </c>
      <c r="I536">
        <v>11508.64</v>
      </c>
      <c r="J536">
        <v>11508.64</v>
      </c>
      <c r="K536">
        <v>5643.36</v>
      </c>
      <c r="L536">
        <v>5643.36</v>
      </c>
      <c r="M536" t="s">
        <v>19</v>
      </c>
      <c r="N536">
        <v>178</v>
      </c>
    </row>
    <row r="537" spans="1:14" x14ac:dyDescent="0.35">
      <c r="A537">
        <v>100536</v>
      </c>
      <c r="B537">
        <v>49925</v>
      </c>
      <c r="C537" t="s">
        <v>415</v>
      </c>
      <c r="D537" t="s">
        <v>65</v>
      </c>
      <c r="E537" t="s">
        <v>16</v>
      </c>
      <c r="F537" t="s">
        <v>17</v>
      </c>
      <c r="G537" t="s">
        <v>28</v>
      </c>
      <c r="H537">
        <v>3832</v>
      </c>
      <c r="I537">
        <v>2883.43</v>
      </c>
      <c r="J537">
        <v>2883.43</v>
      </c>
      <c r="K537">
        <v>948.57</v>
      </c>
      <c r="L537">
        <v>948.57</v>
      </c>
      <c r="M537" t="s">
        <v>19</v>
      </c>
      <c r="N537">
        <v>178</v>
      </c>
    </row>
    <row r="538" spans="1:14" x14ac:dyDescent="0.35">
      <c r="A538">
        <v>100537</v>
      </c>
      <c r="B538">
        <v>95952</v>
      </c>
      <c r="C538" t="s">
        <v>416</v>
      </c>
      <c r="D538" t="s">
        <v>52</v>
      </c>
      <c r="E538" t="s">
        <v>56</v>
      </c>
      <c r="F538" t="s">
        <v>17</v>
      </c>
      <c r="G538" t="s">
        <v>72</v>
      </c>
      <c r="H538">
        <v>22024</v>
      </c>
      <c r="I538">
        <v>17647.080000000002</v>
      </c>
      <c r="J538">
        <v>17647.080000000002</v>
      </c>
      <c r="K538">
        <v>4376.92</v>
      </c>
      <c r="L538">
        <v>4376.92</v>
      </c>
      <c r="M538" t="s">
        <v>19</v>
      </c>
      <c r="N538">
        <v>30</v>
      </c>
    </row>
    <row r="539" spans="1:14" x14ac:dyDescent="0.35">
      <c r="A539">
        <v>100538</v>
      </c>
      <c r="B539">
        <v>63361</v>
      </c>
      <c r="C539" t="s">
        <v>331</v>
      </c>
      <c r="D539" t="s">
        <v>34</v>
      </c>
      <c r="E539" t="s">
        <v>26</v>
      </c>
      <c r="F539" t="s">
        <v>54</v>
      </c>
      <c r="G539" t="s">
        <v>72</v>
      </c>
      <c r="H539">
        <v>19103</v>
      </c>
      <c r="I539">
        <v>17335.490000000002</v>
      </c>
      <c r="J539">
        <v>2889.46</v>
      </c>
      <c r="K539">
        <v>1767.51</v>
      </c>
      <c r="L539">
        <v>16213.54</v>
      </c>
      <c r="M539" t="s">
        <v>50</v>
      </c>
      <c r="N539">
        <v>64</v>
      </c>
    </row>
    <row r="540" spans="1:14" x14ac:dyDescent="0.35">
      <c r="A540">
        <v>100539</v>
      </c>
      <c r="B540">
        <v>37557</v>
      </c>
      <c r="C540" t="s">
        <v>191</v>
      </c>
      <c r="D540" t="s">
        <v>34</v>
      </c>
      <c r="E540" t="s">
        <v>41</v>
      </c>
      <c r="F540" t="s">
        <v>61</v>
      </c>
      <c r="G540" t="s">
        <v>47</v>
      </c>
      <c r="H540">
        <v>6677</v>
      </c>
      <c r="I540">
        <v>6011.56</v>
      </c>
      <c r="J540">
        <v>4490.96</v>
      </c>
      <c r="K540">
        <v>665.44</v>
      </c>
      <c r="L540">
        <v>2186.04</v>
      </c>
      <c r="M540" t="s">
        <v>39</v>
      </c>
      <c r="N540">
        <v>130</v>
      </c>
    </row>
    <row r="541" spans="1:14" x14ac:dyDescent="0.35">
      <c r="A541">
        <v>100540</v>
      </c>
      <c r="B541">
        <v>66619</v>
      </c>
      <c r="C541" t="s">
        <v>236</v>
      </c>
      <c r="D541" t="s">
        <v>21</v>
      </c>
      <c r="E541" t="s">
        <v>16</v>
      </c>
      <c r="F541" t="s">
        <v>32</v>
      </c>
      <c r="G541" t="s">
        <v>72</v>
      </c>
      <c r="H541">
        <v>8896</v>
      </c>
      <c r="I541">
        <v>6821.5</v>
      </c>
      <c r="J541">
        <v>6821.5</v>
      </c>
      <c r="K541">
        <v>2074.5</v>
      </c>
      <c r="L541">
        <v>2074.5</v>
      </c>
      <c r="M541" t="s">
        <v>19</v>
      </c>
      <c r="N541">
        <v>170</v>
      </c>
    </row>
    <row r="542" spans="1:14" x14ac:dyDescent="0.35">
      <c r="A542">
        <v>100541</v>
      </c>
      <c r="B542">
        <v>61252</v>
      </c>
      <c r="C542" t="s">
        <v>298</v>
      </c>
      <c r="D542" t="s">
        <v>34</v>
      </c>
      <c r="E542" t="s">
        <v>26</v>
      </c>
      <c r="F542" t="s">
        <v>44</v>
      </c>
      <c r="G542" t="s">
        <v>45</v>
      </c>
      <c r="H542">
        <v>20521</v>
      </c>
      <c r="I542">
        <v>17749.189999999999</v>
      </c>
      <c r="J542">
        <v>17749.189999999999</v>
      </c>
      <c r="K542">
        <v>2771.81</v>
      </c>
      <c r="L542">
        <v>2771.81</v>
      </c>
      <c r="M542" t="s">
        <v>19</v>
      </c>
      <c r="N542">
        <v>157</v>
      </c>
    </row>
    <row r="543" spans="1:14" x14ac:dyDescent="0.35">
      <c r="A543">
        <v>100542</v>
      </c>
      <c r="B543">
        <v>79751</v>
      </c>
      <c r="C543" t="s">
        <v>417</v>
      </c>
      <c r="D543" t="s">
        <v>15</v>
      </c>
      <c r="E543" t="s">
        <v>31</v>
      </c>
      <c r="F543" t="s">
        <v>44</v>
      </c>
      <c r="G543" t="s">
        <v>28</v>
      </c>
      <c r="H543">
        <v>22013</v>
      </c>
      <c r="I543">
        <v>18984.05</v>
      </c>
      <c r="J543">
        <v>18984.05</v>
      </c>
      <c r="K543">
        <v>3028.95</v>
      </c>
      <c r="L543">
        <v>3028.95</v>
      </c>
      <c r="M543" t="s">
        <v>19</v>
      </c>
      <c r="N543">
        <v>123</v>
      </c>
    </row>
    <row r="544" spans="1:14" x14ac:dyDescent="0.35">
      <c r="A544">
        <v>100543</v>
      </c>
      <c r="B544">
        <v>62287</v>
      </c>
      <c r="C544" t="s">
        <v>172</v>
      </c>
      <c r="D544" t="s">
        <v>15</v>
      </c>
      <c r="E544" t="s">
        <v>22</v>
      </c>
      <c r="F544" t="s">
        <v>23</v>
      </c>
      <c r="G544" t="s">
        <v>28</v>
      </c>
      <c r="H544">
        <v>4062</v>
      </c>
      <c r="I544">
        <v>2392.94</v>
      </c>
      <c r="J544">
        <v>2392.94</v>
      </c>
      <c r="K544">
        <v>1669.06</v>
      </c>
      <c r="L544">
        <v>1669.06</v>
      </c>
      <c r="M544" t="s">
        <v>19</v>
      </c>
      <c r="N544">
        <v>177</v>
      </c>
    </row>
    <row r="545" spans="1:14" x14ac:dyDescent="0.35">
      <c r="A545">
        <v>100544</v>
      </c>
      <c r="B545">
        <v>54036</v>
      </c>
      <c r="C545" t="s">
        <v>415</v>
      </c>
      <c r="D545" t="s">
        <v>21</v>
      </c>
      <c r="E545" t="s">
        <v>41</v>
      </c>
      <c r="F545" t="s">
        <v>23</v>
      </c>
      <c r="G545" t="s">
        <v>38</v>
      </c>
      <c r="H545">
        <v>23665</v>
      </c>
      <c r="I545">
        <v>17047.3</v>
      </c>
      <c r="J545">
        <v>0</v>
      </c>
      <c r="K545">
        <v>6617.7</v>
      </c>
      <c r="L545">
        <v>23665</v>
      </c>
      <c r="M545" t="s">
        <v>62</v>
      </c>
      <c r="N545">
        <v>125</v>
      </c>
    </row>
    <row r="546" spans="1:14" x14ac:dyDescent="0.35">
      <c r="A546">
        <v>100545</v>
      </c>
      <c r="B546">
        <v>50906</v>
      </c>
      <c r="C546" t="s">
        <v>418</v>
      </c>
      <c r="D546" t="s">
        <v>65</v>
      </c>
      <c r="E546" t="s">
        <v>22</v>
      </c>
      <c r="F546" t="s">
        <v>23</v>
      </c>
      <c r="G546" t="s">
        <v>18</v>
      </c>
      <c r="H546">
        <v>15322</v>
      </c>
      <c r="I546">
        <v>13958.49</v>
      </c>
      <c r="J546">
        <v>6482.91</v>
      </c>
      <c r="K546">
        <v>1363.51</v>
      </c>
      <c r="L546">
        <v>8839.09</v>
      </c>
      <c r="M546" t="s">
        <v>39</v>
      </c>
      <c r="N546">
        <v>95</v>
      </c>
    </row>
    <row r="547" spans="1:14" x14ac:dyDescent="0.35">
      <c r="A547">
        <v>100546</v>
      </c>
      <c r="B547">
        <v>86831</v>
      </c>
      <c r="C547" t="s">
        <v>356</v>
      </c>
      <c r="D547" t="s">
        <v>49</v>
      </c>
      <c r="E547" t="s">
        <v>37</v>
      </c>
      <c r="F547" t="s">
        <v>27</v>
      </c>
      <c r="G547" t="s">
        <v>47</v>
      </c>
      <c r="H547">
        <v>17112</v>
      </c>
      <c r="I547">
        <v>12303.09</v>
      </c>
      <c r="J547">
        <v>12303.09</v>
      </c>
      <c r="K547">
        <v>4808.91</v>
      </c>
      <c r="L547">
        <v>4808.91</v>
      </c>
      <c r="M547" t="s">
        <v>19</v>
      </c>
      <c r="N547">
        <v>63</v>
      </c>
    </row>
    <row r="548" spans="1:14" x14ac:dyDescent="0.35">
      <c r="A548">
        <v>100547</v>
      </c>
      <c r="B548">
        <v>32539</v>
      </c>
      <c r="C548" t="s">
        <v>383</v>
      </c>
      <c r="D548" t="s">
        <v>30</v>
      </c>
      <c r="E548" t="s">
        <v>43</v>
      </c>
      <c r="F548" t="s">
        <v>44</v>
      </c>
      <c r="G548" t="s">
        <v>18</v>
      </c>
      <c r="H548">
        <v>11451</v>
      </c>
      <c r="I548">
        <v>7827.76</v>
      </c>
      <c r="J548">
        <v>7827.76</v>
      </c>
      <c r="K548">
        <v>3623.24</v>
      </c>
      <c r="L548">
        <v>3623.24</v>
      </c>
      <c r="M548" t="s">
        <v>19</v>
      </c>
      <c r="N548">
        <v>168</v>
      </c>
    </row>
    <row r="549" spans="1:14" x14ac:dyDescent="0.35">
      <c r="A549">
        <v>100548</v>
      </c>
      <c r="B549">
        <v>38539</v>
      </c>
      <c r="C549" t="s">
        <v>419</v>
      </c>
      <c r="D549" t="s">
        <v>15</v>
      </c>
      <c r="E549" t="s">
        <v>43</v>
      </c>
      <c r="F549" t="s">
        <v>17</v>
      </c>
      <c r="G549" t="s">
        <v>72</v>
      </c>
      <c r="H549">
        <v>11379</v>
      </c>
      <c r="I549">
        <v>6677.88</v>
      </c>
      <c r="J549">
        <v>6677.88</v>
      </c>
      <c r="K549">
        <v>4701.12</v>
      </c>
      <c r="L549">
        <v>4701.12</v>
      </c>
      <c r="M549" t="s">
        <v>19</v>
      </c>
      <c r="N549">
        <v>49</v>
      </c>
    </row>
    <row r="550" spans="1:14" x14ac:dyDescent="0.35">
      <c r="A550">
        <v>100549</v>
      </c>
      <c r="B550">
        <v>27883</v>
      </c>
      <c r="C550" t="s">
        <v>266</v>
      </c>
      <c r="D550" t="s">
        <v>65</v>
      </c>
      <c r="E550" t="s">
        <v>16</v>
      </c>
      <c r="F550" t="s">
        <v>44</v>
      </c>
      <c r="G550" t="s">
        <v>18</v>
      </c>
      <c r="H550">
        <v>21639</v>
      </c>
      <c r="I550">
        <v>16425.740000000002</v>
      </c>
      <c r="J550">
        <v>13323.77</v>
      </c>
      <c r="K550">
        <v>5213.26</v>
      </c>
      <c r="L550">
        <v>8315.23</v>
      </c>
      <c r="M550" t="s">
        <v>39</v>
      </c>
      <c r="N550">
        <v>33</v>
      </c>
    </row>
    <row r="551" spans="1:14" x14ac:dyDescent="0.35">
      <c r="A551">
        <v>100550</v>
      </c>
      <c r="B551">
        <v>30413</v>
      </c>
      <c r="C551" t="s">
        <v>415</v>
      </c>
      <c r="D551" t="s">
        <v>49</v>
      </c>
      <c r="E551" t="s">
        <v>56</v>
      </c>
      <c r="F551" t="s">
        <v>61</v>
      </c>
      <c r="G551" t="s">
        <v>18</v>
      </c>
      <c r="H551">
        <v>22189</v>
      </c>
      <c r="I551">
        <v>12987.32</v>
      </c>
      <c r="J551">
        <v>12987.32</v>
      </c>
      <c r="K551">
        <v>9201.68</v>
      </c>
      <c r="L551">
        <v>9201.68</v>
      </c>
      <c r="M551" t="s">
        <v>19</v>
      </c>
      <c r="N551">
        <v>51</v>
      </c>
    </row>
    <row r="552" spans="1:14" x14ac:dyDescent="0.35">
      <c r="A552">
        <v>100551</v>
      </c>
      <c r="B552">
        <v>66520</v>
      </c>
      <c r="C552" t="s">
        <v>244</v>
      </c>
      <c r="D552" t="s">
        <v>65</v>
      </c>
      <c r="E552" t="s">
        <v>16</v>
      </c>
      <c r="F552" t="s">
        <v>44</v>
      </c>
      <c r="G552" t="s">
        <v>24</v>
      </c>
      <c r="H552">
        <v>1792</v>
      </c>
      <c r="I552">
        <v>1505.03</v>
      </c>
      <c r="J552">
        <v>1016.44</v>
      </c>
      <c r="K552">
        <v>286.97000000000003</v>
      </c>
      <c r="L552">
        <v>775.56</v>
      </c>
      <c r="M552" t="s">
        <v>39</v>
      </c>
      <c r="N552">
        <v>8</v>
      </c>
    </row>
    <row r="553" spans="1:14" x14ac:dyDescent="0.35">
      <c r="A553">
        <v>100552</v>
      </c>
      <c r="B553">
        <v>33289</v>
      </c>
      <c r="C553" t="s">
        <v>420</v>
      </c>
      <c r="D553" t="s">
        <v>15</v>
      </c>
      <c r="E553" t="s">
        <v>26</v>
      </c>
      <c r="F553" t="s">
        <v>23</v>
      </c>
      <c r="G553" t="s">
        <v>72</v>
      </c>
      <c r="H553">
        <v>24066</v>
      </c>
      <c r="I553">
        <v>13736.12</v>
      </c>
      <c r="J553">
        <v>8686.4500000000007</v>
      </c>
      <c r="K553">
        <v>10329.879999999999</v>
      </c>
      <c r="L553">
        <v>15379.55</v>
      </c>
      <c r="M553" t="s">
        <v>39</v>
      </c>
      <c r="N553">
        <v>130</v>
      </c>
    </row>
    <row r="554" spans="1:14" x14ac:dyDescent="0.35">
      <c r="A554">
        <v>100553</v>
      </c>
      <c r="B554">
        <v>30096</v>
      </c>
      <c r="C554" t="s">
        <v>124</v>
      </c>
      <c r="D554" t="s">
        <v>65</v>
      </c>
      <c r="E554" t="s">
        <v>31</v>
      </c>
      <c r="F554" t="s">
        <v>61</v>
      </c>
      <c r="G554" t="s">
        <v>47</v>
      </c>
      <c r="H554">
        <v>23785</v>
      </c>
      <c r="I554">
        <v>19085.87</v>
      </c>
      <c r="J554">
        <v>19085.87</v>
      </c>
      <c r="K554">
        <v>4699.13</v>
      </c>
      <c r="L554">
        <v>4699.13</v>
      </c>
      <c r="M554" t="s">
        <v>19</v>
      </c>
      <c r="N554">
        <v>156</v>
      </c>
    </row>
    <row r="555" spans="1:14" x14ac:dyDescent="0.35">
      <c r="A555">
        <v>100554</v>
      </c>
      <c r="B555">
        <v>61128</v>
      </c>
      <c r="C555" t="s">
        <v>421</v>
      </c>
      <c r="D555" t="s">
        <v>15</v>
      </c>
      <c r="E555" t="s">
        <v>56</v>
      </c>
      <c r="F555" t="s">
        <v>54</v>
      </c>
      <c r="G555" t="s">
        <v>24</v>
      </c>
      <c r="H555">
        <v>16537</v>
      </c>
      <c r="I555">
        <v>10850.06</v>
      </c>
      <c r="J555">
        <v>10850.06</v>
      </c>
      <c r="K555">
        <v>5686.94</v>
      </c>
      <c r="L555">
        <v>5686.94</v>
      </c>
      <c r="M555" t="s">
        <v>19</v>
      </c>
      <c r="N555">
        <v>46</v>
      </c>
    </row>
    <row r="556" spans="1:14" x14ac:dyDescent="0.35">
      <c r="A556">
        <v>100555</v>
      </c>
      <c r="B556">
        <v>38049</v>
      </c>
      <c r="C556" t="s">
        <v>310</v>
      </c>
      <c r="D556" t="s">
        <v>49</v>
      </c>
      <c r="E556" t="s">
        <v>16</v>
      </c>
      <c r="F556" t="s">
        <v>61</v>
      </c>
      <c r="G556" t="s">
        <v>24</v>
      </c>
      <c r="H556">
        <v>16778</v>
      </c>
      <c r="I556">
        <v>14972.59</v>
      </c>
      <c r="J556">
        <v>14972.59</v>
      </c>
      <c r="K556">
        <v>1805.41</v>
      </c>
      <c r="L556">
        <v>1805.41</v>
      </c>
      <c r="M556" t="s">
        <v>19</v>
      </c>
      <c r="N556">
        <v>18</v>
      </c>
    </row>
    <row r="557" spans="1:14" x14ac:dyDescent="0.35">
      <c r="A557">
        <v>100556</v>
      </c>
      <c r="B557">
        <v>45803</v>
      </c>
      <c r="C557" t="s">
        <v>42</v>
      </c>
      <c r="D557" t="s">
        <v>21</v>
      </c>
      <c r="E557" t="s">
        <v>37</v>
      </c>
      <c r="F557" t="s">
        <v>23</v>
      </c>
      <c r="G557" t="s">
        <v>45</v>
      </c>
      <c r="H557">
        <v>1779</v>
      </c>
      <c r="I557">
        <v>1108.72</v>
      </c>
      <c r="J557">
        <v>853.34</v>
      </c>
      <c r="K557">
        <v>670.28</v>
      </c>
      <c r="L557">
        <v>925.66</v>
      </c>
      <c r="M557" t="s">
        <v>39</v>
      </c>
      <c r="N557">
        <v>165</v>
      </c>
    </row>
    <row r="558" spans="1:14" x14ac:dyDescent="0.35">
      <c r="A558">
        <v>100557</v>
      </c>
      <c r="B558">
        <v>24955</v>
      </c>
      <c r="C558" t="s">
        <v>251</v>
      </c>
      <c r="D558" t="s">
        <v>49</v>
      </c>
      <c r="E558" t="s">
        <v>22</v>
      </c>
      <c r="F558" t="s">
        <v>61</v>
      </c>
      <c r="G558" t="s">
        <v>24</v>
      </c>
      <c r="H558">
        <v>22278</v>
      </c>
      <c r="I558">
        <v>14554.65</v>
      </c>
      <c r="J558">
        <v>14554.65</v>
      </c>
      <c r="K558">
        <v>7723.35</v>
      </c>
      <c r="L558">
        <v>7723.35</v>
      </c>
      <c r="M558" t="s">
        <v>19</v>
      </c>
      <c r="N558">
        <v>113</v>
      </c>
    </row>
    <row r="559" spans="1:14" x14ac:dyDescent="0.35">
      <c r="A559">
        <v>100558</v>
      </c>
      <c r="B559">
        <v>67521</v>
      </c>
      <c r="C559" t="s">
        <v>80</v>
      </c>
      <c r="D559" t="s">
        <v>65</v>
      </c>
      <c r="E559" t="s">
        <v>16</v>
      </c>
      <c r="F559" t="s">
        <v>44</v>
      </c>
      <c r="G559" t="s">
        <v>18</v>
      </c>
      <c r="H559">
        <v>16617</v>
      </c>
      <c r="I559">
        <v>9593.01</v>
      </c>
      <c r="J559">
        <v>9593.01</v>
      </c>
      <c r="K559">
        <v>7023.99</v>
      </c>
      <c r="L559">
        <v>7023.99</v>
      </c>
      <c r="M559" t="s">
        <v>19</v>
      </c>
      <c r="N559">
        <v>174</v>
      </c>
    </row>
    <row r="560" spans="1:14" x14ac:dyDescent="0.35">
      <c r="A560">
        <v>100559</v>
      </c>
      <c r="B560">
        <v>17223</v>
      </c>
      <c r="C560" t="s">
        <v>422</v>
      </c>
      <c r="D560" t="s">
        <v>21</v>
      </c>
      <c r="E560" t="s">
        <v>41</v>
      </c>
      <c r="F560" t="s">
        <v>61</v>
      </c>
      <c r="G560" t="s">
        <v>18</v>
      </c>
      <c r="H560">
        <v>23248</v>
      </c>
      <c r="I560">
        <v>17288.599999999999</v>
      </c>
      <c r="J560">
        <v>7521.09</v>
      </c>
      <c r="K560">
        <v>5959.4</v>
      </c>
      <c r="L560">
        <v>15726.91</v>
      </c>
      <c r="M560" t="s">
        <v>39</v>
      </c>
      <c r="N560">
        <v>69</v>
      </c>
    </row>
    <row r="561" spans="1:14" x14ac:dyDescent="0.35">
      <c r="A561">
        <v>100560</v>
      </c>
      <c r="B561">
        <v>94698</v>
      </c>
      <c r="C561" t="s">
        <v>108</v>
      </c>
      <c r="D561" t="s">
        <v>21</v>
      </c>
      <c r="E561" t="s">
        <v>37</v>
      </c>
      <c r="F561" t="s">
        <v>61</v>
      </c>
      <c r="G561" t="s">
        <v>28</v>
      </c>
      <c r="H561">
        <v>14120</v>
      </c>
      <c r="I561">
        <v>11273.87</v>
      </c>
      <c r="J561">
        <v>11273.87</v>
      </c>
      <c r="K561">
        <v>2846.13</v>
      </c>
      <c r="L561">
        <v>2846.13</v>
      </c>
      <c r="M561" t="s">
        <v>19</v>
      </c>
      <c r="N561">
        <v>174</v>
      </c>
    </row>
    <row r="562" spans="1:14" x14ac:dyDescent="0.35">
      <c r="A562">
        <v>100561</v>
      </c>
      <c r="B562">
        <v>39259</v>
      </c>
      <c r="C562" t="s">
        <v>423</v>
      </c>
      <c r="D562" t="s">
        <v>52</v>
      </c>
      <c r="E562" t="s">
        <v>26</v>
      </c>
      <c r="F562" t="s">
        <v>27</v>
      </c>
      <c r="G562" t="s">
        <v>47</v>
      </c>
      <c r="H562">
        <v>21821</v>
      </c>
      <c r="I562">
        <v>15278.14</v>
      </c>
      <c r="J562">
        <v>15278.14</v>
      </c>
      <c r="K562">
        <v>6542.86</v>
      </c>
      <c r="L562">
        <v>6542.86</v>
      </c>
      <c r="M562" t="s">
        <v>19</v>
      </c>
      <c r="N562">
        <v>150</v>
      </c>
    </row>
    <row r="563" spans="1:14" x14ac:dyDescent="0.35">
      <c r="A563">
        <v>100562</v>
      </c>
      <c r="B563">
        <v>10721</v>
      </c>
      <c r="C563" t="s">
        <v>424</v>
      </c>
      <c r="D563" t="s">
        <v>15</v>
      </c>
      <c r="E563" t="s">
        <v>31</v>
      </c>
      <c r="F563" t="s">
        <v>61</v>
      </c>
      <c r="G563" t="s">
        <v>24</v>
      </c>
      <c r="H563">
        <v>15202</v>
      </c>
      <c r="I563">
        <v>12857.01</v>
      </c>
      <c r="J563">
        <v>12857.01</v>
      </c>
      <c r="K563">
        <v>2344.9899999999998</v>
      </c>
      <c r="L563">
        <v>2344.9899999999998</v>
      </c>
      <c r="M563" t="s">
        <v>19</v>
      </c>
      <c r="N563">
        <v>124</v>
      </c>
    </row>
    <row r="564" spans="1:14" x14ac:dyDescent="0.35">
      <c r="A564">
        <v>100563</v>
      </c>
      <c r="B564">
        <v>82880</v>
      </c>
      <c r="C564" t="s">
        <v>294</v>
      </c>
      <c r="D564" t="s">
        <v>49</v>
      </c>
      <c r="E564" t="s">
        <v>16</v>
      </c>
      <c r="F564" t="s">
        <v>27</v>
      </c>
      <c r="G564" t="s">
        <v>45</v>
      </c>
      <c r="H564">
        <v>7713</v>
      </c>
      <c r="I564">
        <v>6998.65</v>
      </c>
      <c r="J564">
        <v>6998.65</v>
      </c>
      <c r="K564">
        <v>714.35</v>
      </c>
      <c r="L564">
        <v>714.35</v>
      </c>
      <c r="M564" t="s">
        <v>19</v>
      </c>
      <c r="N564">
        <v>176</v>
      </c>
    </row>
    <row r="565" spans="1:14" x14ac:dyDescent="0.35">
      <c r="A565">
        <v>100564</v>
      </c>
      <c r="B565">
        <v>99915</v>
      </c>
      <c r="C565" t="s">
        <v>425</v>
      </c>
      <c r="D565" t="s">
        <v>34</v>
      </c>
      <c r="E565" t="s">
        <v>41</v>
      </c>
      <c r="F565" t="s">
        <v>44</v>
      </c>
      <c r="G565" t="s">
        <v>38</v>
      </c>
      <c r="H565">
        <v>1937</v>
      </c>
      <c r="I565">
        <v>1824.3</v>
      </c>
      <c r="J565">
        <v>1824.3</v>
      </c>
      <c r="K565">
        <v>112.7</v>
      </c>
      <c r="L565">
        <v>112.7</v>
      </c>
      <c r="M565" t="s">
        <v>19</v>
      </c>
      <c r="N565">
        <v>26</v>
      </c>
    </row>
    <row r="566" spans="1:14" x14ac:dyDescent="0.35">
      <c r="A566">
        <v>100565</v>
      </c>
      <c r="B566">
        <v>98030</v>
      </c>
      <c r="C566" t="s">
        <v>426</v>
      </c>
      <c r="D566" t="s">
        <v>21</v>
      </c>
      <c r="E566" t="s">
        <v>16</v>
      </c>
      <c r="F566" t="s">
        <v>23</v>
      </c>
      <c r="G566" t="s">
        <v>18</v>
      </c>
      <c r="H566">
        <v>4109</v>
      </c>
      <c r="I566">
        <v>2565.09</v>
      </c>
      <c r="J566">
        <v>2565.09</v>
      </c>
      <c r="K566">
        <v>1543.91</v>
      </c>
      <c r="L566">
        <v>1543.91</v>
      </c>
      <c r="M566" t="s">
        <v>19</v>
      </c>
      <c r="N566">
        <v>114</v>
      </c>
    </row>
    <row r="567" spans="1:14" x14ac:dyDescent="0.35">
      <c r="A567">
        <v>100566</v>
      </c>
      <c r="B567">
        <v>29749</v>
      </c>
      <c r="C567" t="s">
        <v>204</v>
      </c>
      <c r="D567" t="s">
        <v>15</v>
      </c>
      <c r="E567" t="s">
        <v>41</v>
      </c>
      <c r="F567" t="s">
        <v>32</v>
      </c>
      <c r="G567" t="s">
        <v>18</v>
      </c>
      <c r="H567">
        <v>6046</v>
      </c>
      <c r="I567">
        <v>3967.18</v>
      </c>
      <c r="J567">
        <v>106.79</v>
      </c>
      <c r="K567">
        <v>2078.8200000000002</v>
      </c>
      <c r="L567">
        <v>5939.21</v>
      </c>
      <c r="M567" t="s">
        <v>50</v>
      </c>
      <c r="N567">
        <v>91</v>
      </c>
    </row>
    <row r="568" spans="1:14" x14ac:dyDescent="0.35">
      <c r="A568">
        <v>100567</v>
      </c>
      <c r="B568">
        <v>23142</v>
      </c>
      <c r="C568" t="s">
        <v>427</v>
      </c>
      <c r="D568" t="s">
        <v>15</v>
      </c>
      <c r="E568" t="s">
        <v>31</v>
      </c>
      <c r="F568" t="s">
        <v>27</v>
      </c>
      <c r="G568" t="s">
        <v>24</v>
      </c>
      <c r="H568">
        <v>983</v>
      </c>
      <c r="I568">
        <v>556.96</v>
      </c>
      <c r="J568">
        <v>244.55</v>
      </c>
      <c r="K568">
        <v>426.04</v>
      </c>
      <c r="L568">
        <v>738.45</v>
      </c>
      <c r="M568" t="s">
        <v>39</v>
      </c>
      <c r="N568">
        <v>148</v>
      </c>
    </row>
    <row r="569" spans="1:14" x14ac:dyDescent="0.35">
      <c r="A569">
        <v>100568</v>
      </c>
      <c r="B569">
        <v>12869</v>
      </c>
      <c r="C569" t="s">
        <v>132</v>
      </c>
      <c r="D569" t="s">
        <v>30</v>
      </c>
      <c r="E569" t="s">
        <v>41</v>
      </c>
      <c r="F569" t="s">
        <v>61</v>
      </c>
      <c r="G569" t="s">
        <v>24</v>
      </c>
      <c r="H569">
        <v>18563</v>
      </c>
      <c r="I569">
        <v>11062</v>
      </c>
      <c r="J569">
        <v>11062</v>
      </c>
      <c r="K569">
        <v>7501</v>
      </c>
      <c r="L569">
        <v>7501</v>
      </c>
      <c r="M569" t="s">
        <v>19</v>
      </c>
      <c r="N569">
        <v>147</v>
      </c>
    </row>
    <row r="570" spans="1:14" x14ac:dyDescent="0.35">
      <c r="A570">
        <v>100569</v>
      </c>
      <c r="B570">
        <v>97398</v>
      </c>
      <c r="C570" t="s">
        <v>428</v>
      </c>
      <c r="D570" t="s">
        <v>52</v>
      </c>
      <c r="E570" t="s">
        <v>26</v>
      </c>
      <c r="F570" t="s">
        <v>23</v>
      </c>
      <c r="G570" t="s">
        <v>18</v>
      </c>
      <c r="H570">
        <v>22577</v>
      </c>
      <c r="I570">
        <v>12926.06</v>
      </c>
      <c r="J570">
        <v>12926.06</v>
      </c>
      <c r="K570">
        <v>9650.94</v>
      </c>
      <c r="L570">
        <v>9650.94</v>
      </c>
      <c r="M570" t="s">
        <v>19</v>
      </c>
      <c r="N570">
        <v>66</v>
      </c>
    </row>
    <row r="571" spans="1:14" x14ac:dyDescent="0.35">
      <c r="A571">
        <v>100570</v>
      </c>
      <c r="B571">
        <v>79515</v>
      </c>
      <c r="C571" t="s">
        <v>279</v>
      </c>
      <c r="D571" t="s">
        <v>52</v>
      </c>
      <c r="E571" t="s">
        <v>37</v>
      </c>
      <c r="F571" t="s">
        <v>23</v>
      </c>
      <c r="G571" t="s">
        <v>24</v>
      </c>
      <c r="H571">
        <v>15758</v>
      </c>
      <c r="I571">
        <v>13032.49</v>
      </c>
      <c r="J571">
        <v>13032.49</v>
      </c>
      <c r="K571">
        <v>2725.51</v>
      </c>
      <c r="L571">
        <v>2725.51</v>
      </c>
      <c r="M571" t="s">
        <v>19</v>
      </c>
      <c r="N571">
        <v>59</v>
      </c>
    </row>
    <row r="572" spans="1:14" x14ac:dyDescent="0.35">
      <c r="A572">
        <v>100571</v>
      </c>
      <c r="B572">
        <v>30722</v>
      </c>
      <c r="C572" t="s">
        <v>194</v>
      </c>
      <c r="D572" t="s">
        <v>15</v>
      </c>
      <c r="E572" t="s">
        <v>16</v>
      </c>
      <c r="F572" t="s">
        <v>61</v>
      </c>
      <c r="G572" t="s">
        <v>28</v>
      </c>
      <c r="H572">
        <v>14455</v>
      </c>
      <c r="I572">
        <v>10759.39</v>
      </c>
      <c r="J572">
        <v>10759.39</v>
      </c>
      <c r="K572">
        <v>3695.61</v>
      </c>
      <c r="L572">
        <v>3695.61</v>
      </c>
      <c r="M572" t="s">
        <v>19</v>
      </c>
      <c r="N572">
        <v>77</v>
      </c>
    </row>
    <row r="573" spans="1:14" x14ac:dyDescent="0.35">
      <c r="A573">
        <v>100572</v>
      </c>
      <c r="B573">
        <v>77280</v>
      </c>
      <c r="C573" t="s">
        <v>40</v>
      </c>
      <c r="D573" t="s">
        <v>65</v>
      </c>
      <c r="E573" t="s">
        <v>31</v>
      </c>
      <c r="F573" t="s">
        <v>17</v>
      </c>
      <c r="G573" t="s">
        <v>45</v>
      </c>
      <c r="H573">
        <v>12598</v>
      </c>
      <c r="I573">
        <v>7307.46</v>
      </c>
      <c r="J573">
        <v>3259.77</v>
      </c>
      <c r="K573">
        <v>5290.54</v>
      </c>
      <c r="L573">
        <v>9338.23</v>
      </c>
      <c r="M573" t="s">
        <v>39</v>
      </c>
      <c r="N573">
        <v>21</v>
      </c>
    </row>
    <row r="574" spans="1:14" x14ac:dyDescent="0.35">
      <c r="A574">
        <v>100573</v>
      </c>
      <c r="B574">
        <v>43768</v>
      </c>
      <c r="C574" t="s">
        <v>429</v>
      </c>
      <c r="D574" t="s">
        <v>49</v>
      </c>
      <c r="E574" t="s">
        <v>37</v>
      </c>
      <c r="F574" t="s">
        <v>54</v>
      </c>
      <c r="G574" t="s">
        <v>38</v>
      </c>
      <c r="H574">
        <v>2353</v>
      </c>
      <c r="I574">
        <v>1727.35</v>
      </c>
      <c r="J574">
        <v>1155.8900000000001</v>
      </c>
      <c r="K574">
        <v>625.65</v>
      </c>
      <c r="L574">
        <v>1197.1099999999999</v>
      </c>
      <c r="M574" t="s">
        <v>39</v>
      </c>
      <c r="N574">
        <v>83</v>
      </c>
    </row>
    <row r="575" spans="1:14" x14ac:dyDescent="0.35">
      <c r="A575">
        <v>100574</v>
      </c>
      <c r="B575">
        <v>53862</v>
      </c>
      <c r="C575" t="s">
        <v>406</v>
      </c>
      <c r="D575" t="s">
        <v>21</v>
      </c>
      <c r="E575" t="s">
        <v>43</v>
      </c>
      <c r="F575" t="s">
        <v>44</v>
      </c>
      <c r="G575" t="s">
        <v>72</v>
      </c>
      <c r="H575">
        <v>15389</v>
      </c>
      <c r="I575">
        <v>10353.43</v>
      </c>
      <c r="J575">
        <v>2128.9</v>
      </c>
      <c r="K575">
        <v>5035.57</v>
      </c>
      <c r="L575">
        <v>13260.1</v>
      </c>
      <c r="M575" t="s">
        <v>50</v>
      </c>
      <c r="N575">
        <v>1</v>
      </c>
    </row>
    <row r="576" spans="1:14" x14ac:dyDescent="0.35">
      <c r="A576">
        <v>100575</v>
      </c>
      <c r="B576">
        <v>30941</v>
      </c>
      <c r="C576" t="s">
        <v>430</v>
      </c>
      <c r="D576" t="s">
        <v>15</v>
      </c>
      <c r="E576" t="s">
        <v>43</v>
      </c>
      <c r="F576" t="s">
        <v>35</v>
      </c>
      <c r="G576" t="s">
        <v>28</v>
      </c>
      <c r="H576">
        <v>23881</v>
      </c>
      <c r="I576">
        <v>19212.04</v>
      </c>
      <c r="J576">
        <v>19212.04</v>
      </c>
      <c r="K576">
        <v>4668.96</v>
      </c>
      <c r="L576">
        <v>4668.96</v>
      </c>
      <c r="M576" t="s">
        <v>19</v>
      </c>
      <c r="N576">
        <v>152</v>
      </c>
    </row>
    <row r="577" spans="1:14" x14ac:dyDescent="0.35">
      <c r="A577">
        <v>100576</v>
      </c>
      <c r="B577">
        <v>83118</v>
      </c>
      <c r="C577" t="s">
        <v>431</v>
      </c>
      <c r="D577" t="s">
        <v>65</v>
      </c>
      <c r="E577" t="s">
        <v>22</v>
      </c>
      <c r="F577" t="s">
        <v>44</v>
      </c>
      <c r="G577" t="s">
        <v>47</v>
      </c>
      <c r="H577">
        <v>1248</v>
      </c>
      <c r="I577">
        <v>1160.58</v>
      </c>
      <c r="J577">
        <v>258.63</v>
      </c>
      <c r="K577">
        <v>87.42</v>
      </c>
      <c r="L577">
        <v>989.37</v>
      </c>
      <c r="M577" t="s">
        <v>50</v>
      </c>
      <c r="N577">
        <v>87</v>
      </c>
    </row>
    <row r="578" spans="1:14" x14ac:dyDescent="0.35">
      <c r="A578">
        <v>100577</v>
      </c>
      <c r="B578">
        <v>74668</v>
      </c>
      <c r="C578" t="s">
        <v>297</v>
      </c>
      <c r="D578" t="s">
        <v>21</v>
      </c>
      <c r="E578" t="s">
        <v>37</v>
      </c>
      <c r="F578" t="s">
        <v>23</v>
      </c>
      <c r="G578" t="s">
        <v>38</v>
      </c>
      <c r="H578">
        <v>18099</v>
      </c>
      <c r="I578">
        <v>10561.05</v>
      </c>
      <c r="J578">
        <v>0</v>
      </c>
      <c r="K578">
        <v>7537.95</v>
      </c>
      <c r="L578">
        <v>18099</v>
      </c>
      <c r="M578" t="s">
        <v>62</v>
      </c>
      <c r="N578">
        <v>25</v>
      </c>
    </row>
    <row r="579" spans="1:14" x14ac:dyDescent="0.35">
      <c r="A579">
        <v>100578</v>
      </c>
      <c r="B579">
        <v>81444</v>
      </c>
      <c r="C579" t="s">
        <v>212</v>
      </c>
      <c r="D579" t="s">
        <v>30</v>
      </c>
      <c r="E579" t="s">
        <v>31</v>
      </c>
      <c r="F579" t="s">
        <v>32</v>
      </c>
      <c r="G579" t="s">
        <v>18</v>
      </c>
      <c r="H579">
        <v>17143</v>
      </c>
      <c r="I579">
        <v>9806.0300000000007</v>
      </c>
      <c r="J579">
        <v>8803.1299999999992</v>
      </c>
      <c r="K579">
        <v>7336.97</v>
      </c>
      <c r="L579">
        <v>8339.8700000000008</v>
      </c>
      <c r="M579" t="s">
        <v>39</v>
      </c>
      <c r="N579">
        <v>94</v>
      </c>
    </row>
    <row r="580" spans="1:14" x14ac:dyDescent="0.35">
      <c r="A580">
        <v>100579</v>
      </c>
      <c r="B580">
        <v>44473</v>
      </c>
      <c r="C580" t="s">
        <v>432</v>
      </c>
      <c r="D580" t="s">
        <v>49</v>
      </c>
      <c r="E580" t="s">
        <v>26</v>
      </c>
      <c r="F580" t="s">
        <v>35</v>
      </c>
      <c r="G580" t="s">
        <v>28</v>
      </c>
      <c r="H580">
        <v>24167</v>
      </c>
      <c r="I580">
        <v>14233.26</v>
      </c>
      <c r="J580">
        <v>14233.26</v>
      </c>
      <c r="K580">
        <v>9933.74</v>
      </c>
      <c r="L580">
        <v>9933.74</v>
      </c>
      <c r="M580" t="s">
        <v>19</v>
      </c>
      <c r="N580">
        <v>15</v>
      </c>
    </row>
    <row r="581" spans="1:14" x14ac:dyDescent="0.35">
      <c r="A581">
        <v>100580</v>
      </c>
      <c r="B581">
        <v>89122</v>
      </c>
      <c r="C581" t="s">
        <v>433</v>
      </c>
      <c r="D581" t="s">
        <v>52</v>
      </c>
      <c r="E581" t="s">
        <v>41</v>
      </c>
      <c r="F581" t="s">
        <v>23</v>
      </c>
      <c r="G581" t="s">
        <v>28</v>
      </c>
      <c r="H581">
        <v>20937</v>
      </c>
      <c r="I581">
        <v>12437.38</v>
      </c>
      <c r="J581">
        <v>5748.71</v>
      </c>
      <c r="K581">
        <v>8499.6200000000008</v>
      </c>
      <c r="L581">
        <v>15188.29</v>
      </c>
      <c r="M581" t="s">
        <v>39</v>
      </c>
      <c r="N581">
        <v>8</v>
      </c>
    </row>
    <row r="582" spans="1:14" x14ac:dyDescent="0.35">
      <c r="A582">
        <v>100581</v>
      </c>
      <c r="B582">
        <v>73791</v>
      </c>
      <c r="C582" t="s">
        <v>194</v>
      </c>
      <c r="D582" t="s">
        <v>21</v>
      </c>
      <c r="E582" t="s">
        <v>26</v>
      </c>
      <c r="F582" t="s">
        <v>23</v>
      </c>
      <c r="G582" t="s">
        <v>45</v>
      </c>
      <c r="H582">
        <v>24353</v>
      </c>
      <c r="I582">
        <v>23103.87</v>
      </c>
      <c r="J582">
        <v>4732.82</v>
      </c>
      <c r="K582">
        <v>1249.1300000000001</v>
      </c>
      <c r="L582">
        <v>19620.18</v>
      </c>
      <c r="M582" t="s">
        <v>50</v>
      </c>
      <c r="N582">
        <v>5</v>
      </c>
    </row>
    <row r="583" spans="1:14" x14ac:dyDescent="0.35">
      <c r="A583">
        <v>100582</v>
      </c>
      <c r="B583">
        <v>86869</v>
      </c>
      <c r="C583" t="s">
        <v>363</v>
      </c>
      <c r="D583" t="s">
        <v>34</v>
      </c>
      <c r="E583" t="s">
        <v>31</v>
      </c>
      <c r="F583" t="s">
        <v>27</v>
      </c>
      <c r="G583" t="s">
        <v>47</v>
      </c>
      <c r="H583">
        <v>5937</v>
      </c>
      <c r="I583">
        <v>4165.84</v>
      </c>
      <c r="J583">
        <v>4165.84</v>
      </c>
      <c r="K583">
        <v>1771.16</v>
      </c>
      <c r="L583">
        <v>1771.16</v>
      </c>
      <c r="M583" t="s">
        <v>19</v>
      </c>
      <c r="N583">
        <v>140</v>
      </c>
    </row>
    <row r="584" spans="1:14" x14ac:dyDescent="0.35">
      <c r="A584">
        <v>100583</v>
      </c>
      <c r="B584">
        <v>91506</v>
      </c>
      <c r="C584" t="s">
        <v>434</v>
      </c>
      <c r="D584" t="s">
        <v>21</v>
      </c>
      <c r="E584" t="s">
        <v>22</v>
      </c>
      <c r="F584" t="s">
        <v>23</v>
      </c>
      <c r="G584" t="s">
        <v>38</v>
      </c>
      <c r="H584">
        <v>12558</v>
      </c>
      <c r="I584">
        <v>11794.05</v>
      </c>
      <c r="J584">
        <v>8436.7199999999993</v>
      </c>
      <c r="K584">
        <v>763.95</v>
      </c>
      <c r="L584">
        <v>4121.28</v>
      </c>
      <c r="M584" t="s">
        <v>39</v>
      </c>
      <c r="N584">
        <v>28</v>
      </c>
    </row>
    <row r="585" spans="1:14" x14ac:dyDescent="0.35">
      <c r="A585">
        <v>100584</v>
      </c>
      <c r="B585">
        <v>62747</v>
      </c>
      <c r="C585" t="s">
        <v>36</v>
      </c>
      <c r="D585" t="s">
        <v>34</v>
      </c>
      <c r="E585" t="s">
        <v>16</v>
      </c>
      <c r="F585" t="s">
        <v>17</v>
      </c>
      <c r="G585" t="s">
        <v>24</v>
      </c>
      <c r="H585">
        <v>795</v>
      </c>
      <c r="I585">
        <v>508.16</v>
      </c>
      <c r="J585">
        <v>508.16</v>
      </c>
      <c r="K585">
        <v>286.83999999999997</v>
      </c>
      <c r="L585">
        <v>286.83999999999997</v>
      </c>
      <c r="M585" t="s">
        <v>19</v>
      </c>
      <c r="N585">
        <v>111</v>
      </c>
    </row>
    <row r="586" spans="1:14" x14ac:dyDescent="0.35">
      <c r="A586">
        <v>100585</v>
      </c>
      <c r="B586">
        <v>40122</v>
      </c>
      <c r="C586" t="s">
        <v>97</v>
      </c>
      <c r="D586" t="s">
        <v>49</v>
      </c>
      <c r="E586" t="s">
        <v>56</v>
      </c>
      <c r="F586" t="s">
        <v>35</v>
      </c>
      <c r="G586" t="s">
        <v>38</v>
      </c>
      <c r="H586">
        <v>10698</v>
      </c>
      <c r="I586">
        <v>8551.7099999999991</v>
      </c>
      <c r="J586">
        <v>4916.04</v>
      </c>
      <c r="K586">
        <v>2146.29</v>
      </c>
      <c r="L586">
        <v>5781.96</v>
      </c>
      <c r="M586" t="s">
        <v>39</v>
      </c>
      <c r="N586">
        <v>57</v>
      </c>
    </row>
    <row r="587" spans="1:14" x14ac:dyDescent="0.35">
      <c r="A587">
        <v>100586</v>
      </c>
      <c r="B587">
        <v>13245</v>
      </c>
      <c r="C587" t="s">
        <v>329</v>
      </c>
      <c r="D587" t="s">
        <v>52</v>
      </c>
      <c r="E587" t="s">
        <v>41</v>
      </c>
      <c r="F587" t="s">
        <v>35</v>
      </c>
      <c r="G587" t="s">
        <v>72</v>
      </c>
      <c r="H587">
        <v>23232</v>
      </c>
      <c r="I587">
        <v>13199.22</v>
      </c>
      <c r="J587">
        <v>13199.22</v>
      </c>
      <c r="K587">
        <v>10032.780000000001</v>
      </c>
      <c r="L587">
        <v>10032.780000000001</v>
      </c>
      <c r="M587" t="s">
        <v>19</v>
      </c>
      <c r="N587">
        <v>68</v>
      </c>
    </row>
    <row r="588" spans="1:14" x14ac:dyDescent="0.35">
      <c r="A588">
        <v>100587</v>
      </c>
      <c r="B588">
        <v>47735</v>
      </c>
      <c r="C588" t="s">
        <v>48</v>
      </c>
      <c r="D588" t="s">
        <v>65</v>
      </c>
      <c r="E588" t="s">
        <v>41</v>
      </c>
      <c r="F588" t="s">
        <v>61</v>
      </c>
      <c r="G588" t="s">
        <v>24</v>
      </c>
      <c r="H588">
        <v>12432</v>
      </c>
      <c r="I588">
        <v>7067.04</v>
      </c>
      <c r="J588">
        <v>7067.04</v>
      </c>
      <c r="K588">
        <v>5364.96</v>
      </c>
      <c r="L588">
        <v>5364.96</v>
      </c>
      <c r="M588" t="s">
        <v>19</v>
      </c>
      <c r="N588">
        <v>136</v>
      </c>
    </row>
    <row r="589" spans="1:14" x14ac:dyDescent="0.35">
      <c r="A589">
        <v>100588</v>
      </c>
      <c r="B589">
        <v>25708</v>
      </c>
      <c r="C589" t="s">
        <v>279</v>
      </c>
      <c r="D589" t="s">
        <v>30</v>
      </c>
      <c r="E589" t="s">
        <v>16</v>
      </c>
      <c r="F589" t="s">
        <v>23</v>
      </c>
      <c r="G589" t="s">
        <v>45</v>
      </c>
      <c r="H589">
        <v>490</v>
      </c>
      <c r="I589">
        <v>376.13</v>
      </c>
      <c r="J589">
        <v>376.13</v>
      </c>
      <c r="K589">
        <v>113.87</v>
      </c>
      <c r="L589">
        <v>113.87</v>
      </c>
      <c r="M589" t="s">
        <v>19</v>
      </c>
      <c r="N589">
        <v>25</v>
      </c>
    </row>
    <row r="590" spans="1:14" x14ac:dyDescent="0.35">
      <c r="A590">
        <v>100589</v>
      </c>
      <c r="B590">
        <v>86887</v>
      </c>
      <c r="C590" t="s">
        <v>377</v>
      </c>
      <c r="D590" t="s">
        <v>49</v>
      </c>
      <c r="E590" t="s">
        <v>37</v>
      </c>
      <c r="F590" t="s">
        <v>32</v>
      </c>
      <c r="G590" t="s">
        <v>72</v>
      </c>
      <c r="H590">
        <v>15381</v>
      </c>
      <c r="I590">
        <v>8566.4500000000007</v>
      </c>
      <c r="J590">
        <v>8566.4500000000007</v>
      </c>
      <c r="K590">
        <v>6814.55</v>
      </c>
      <c r="L590">
        <v>6814.55</v>
      </c>
      <c r="M590" t="s">
        <v>19</v>
      </c>
      <c r="N590">
        <v>132</v>
      </c>
    </row>
    <row r="591" spans="1:14" x14ac:dyDescent="0.35">
      <c r="A591">
        <v>100590</v>
      </c>
      <c r="B591">
        <v>17196</v>
      </c>
      <c r="C591" t="s">
        <v>435</v>
      </c>
      <c r="D591" t="s">
        <v>34</v>
      </c>
      <c r="E591" t="s">
        <v>31</v>
      </c>
      <c r="F591" t="s">
        <v>17</v>
      </c>
      <c r="G591" t="s">
        <v>45</v>
      </c>
      <c r="H591">
        <v>21081</v>
      </c>
      <c r="I591">
        <v>16676.34</v>
      </c>
      <c r="J591">
        <v>8138.8</v>
      </c>
      <c r="K591">
        <v>4404.66</v>
      </c>
      <c r="L591">
        <v>12942.2</v>
      </c>
      <c r="M591" t="s">
        <v>39</v>
      </c>
      <c r="N591">
        <v>174</v>
      </c>
    </row>
    <row r="592" spans="1:14" x14ac:dyDescent="0.35">
      <c r="A592">
        <v>100591</v>
      </c>
      <c r="B592">
        <v>78647</v>
      </c>
      <c r="C592" t="s">
        <v>429</v>
      </c>
      <c r="D592" t="s">
        <v>15</v>
      </c>
      <c r="E592" t="s">
        <v>41</v>
      </c>
      <c r="F592" t="s">
        <v>44</v>
      </c>
      <c r="G592" t="s">
        <v>28</v>
      </c>
      <c r="H592">
        <v>4970</v>
      </c>
      <c r="I592">
        <v>4422.2</v>
      </c>
      <c r="J592">
        <v>2854.08</v>
      </c>
      <c r="K592">
        <v>547.79999999999995</v>
      </c>
      <c r="L592">
        <v>2115.92</v>
      </c>
      <c r="M592" t="s">
        <v>39</v>
      </c>
      <c r="N592">
        <v>61</v>
      </c>
    </row>
    <row r="593" spans="1:14" x14ac:dyDescent="0.35">
      <c r="A593">
        <v>100592</v>
      </c>
      <c r="B593">
        <v>11881</v>
      </c>
      <c r="C593" t="s">
        <v>210</v>
      </c>
      <c r="D593" t="s">
        <v>15</v>
      </c>
      <c r="E593" t="s">
        <v>26</v>
      </c>
      <c r="F593" t="s">
        <v>17</v>
      </c>
      <c r="G593" t="s">
        <v>38</v>
      </c>
      <c r="H593">
        <v>8963</v>
      </c>
      <c r="I593">
        <v>5747.42</v>
      </c>
      <c r="J593">
        <v>5747.42</v>
      </c>
      <c r="K593">
        <v>3215.58</v>
      </c>
      <c r="L593">
        <v>3215.58</v>
      </c>
      <c r="M593" t="s">
        <v>19</v>
      </c>
      <c r="N593">
        <v>114</v>
      </c>
    </row>
    <row r="594" spans="1:14" x14ac:dyDescent="0.35">
      <c r="A594">
        <v>100593</v>
      </c>
      <c r="B594">
        <v>30339</v>
      </c>
      <c r="C594" t="s">
        <v>144</v>
      </c>
      <c r="D594" t="s">
        <v>52</v>
      </c>
      <c r="E594" t="s">
        <v>43</v>
      </c>
      <c r="F594" t="s">
        <v>23</v>
      </c>
      <c r="G594" t="s">
        <v>18</v>
      </c>
      <c r="H594">
        <v>4373</v>
      </c>
      <c r="I594">
        <v>2859.98</v>
      </c>
      <c r="J594">
        <v>2859.98</v>
      </c>
      <c r="K594">
        <v>1513.02</v>
      </c>
      <c r="L594">
        <v>1513.02</v>
      </c>
      <c r="M594" t="s">
        <v>19</v>
      </c>
      <c r="N594">
        <v>120</v>
      </c>
    </row>
    <row r="595" spans="1:14" x14ac:dyDescent="0.35">
      <c r="A595">
        <v>100594</v>
      </c>
      <c r="B595">
        <v>89307</v>
      </c>
      <c r="C595" t="s">
        <v>195</v>
      </c>
      <c r="D595" t="s">
        <v>34</v>
      </c>
      <c r="E595" t="s">
        <v>41</v>
      </c>
      <c r="F595" t="s">
        <v>61</v>
      </c>
      <c r="G595" t="s">
        <v>72</v>
      </c>
      <c r="H595">
        <v>9125</v>
      </c>
      <c r="I595">
        <v>7715.33</v>
      </c>
      <c r="J595">
        <v>6017.39</v>
      </c>
      <c r="K595">
        <v>1409.67</v>
      </c>
      <c r="L595">
        <v>3107.61</v>
      </c>
      <c r="M595" t="s">
        <v>39</v>
      </c>
      <c r="N595">
        <v>161</v>
      </c>
    </row>
    <row r="596" spans="1:14" x14ac:dyDescent="0.35">
      <c r="A596">
        <v>100595</v>
      </c>
      <c r="B596">
        <v>12510</v>
      </c>
      <c r="C596" t="s">
        <v>398</v>
      </c>
      <c r="D596" t="s">
        <v>21</v>
      </c>
      <c r="E596" t="s">
        <v>31</v>
      </c>
      <c r="F596" t="s">
        <v>61</v>
      </c>
      <c r="G596" t="s">
        <v>47</v>
      </c>
      <c r="H596">
        <v>17272</v>
      </c>
      <c r="I596">
        <v>13734.09</v>
      </c>
      <c r="J596">
        <v>11880.2</v>
      </c>
      <c r="K596">
        <v>3537.91</v>
      </c>
      <c r="L596">
        <v>5391.8</v>
      </c>
      <c r="M596" t="s">
        <v>39</v>
      </c>
      <c r="N596">
        <v>63</v>
      </c>
    </row>
    <row r="597" spans="1:14" x14ac:dyDescent="0.35">
      <c r="A597">
        <v>100596</v>
      </c>
      <c r="B597">
        <v>37686</v>
      </c>
      <c r="C597" t="s">
        <v>436</v>
      </c>
      <c r="D597" t="s">
        <v>65</v>
      </c>
      <c r="E597" t="s">
        <v>16</v>
      </c>
      <c r="F597" t="s">
        <v>54</v>
      </c>
      <c r="G597" t="s">
        <v>72</v>
      </c>
      <c r="H597">
        <v>2358</v>
      </c>
      <c r="I597">
        <v>2034.1</v>
      </c>
      <c r="J597">
        <v>1485.45</v>
      </c>
      <c r="K597">
        <v>323.89999999999998</v>
      </c>
      <c r="L597">
        <v>872.55</v>
      </c>
      <c r="M597" t="s">
        <v>39</v>
      </c>
      <c r="N597">
        <v>9</v>
      </c>
    </row>
    <row r="598" spans="1:14" x14ac:dyDescent="0.35">
      <c r="A598">
        <v>100597</v>
      </c>
      <c r="B598">
        <v>97224</v>
      </c>
      <c r="C598" t="s">
        <v>418</v>
      </c>
      <c r="D598" t="s">
        <v>15</v>
      </c>
      <c r="E598" t="s">
        <v>37</v>
      </c>
      <c r="F598" t="s">
        <v>27</v>
      </c>
      <c r="G598" t="s">
        <v>24</v>
      </c>
      <c r="H598">
        <v>6500</v>
      </c>
      <c r="I598">
        <v>5029.22</v>
      </c>
      <c r="J598">
        <v>1132.5999999999999</v>
      </c>
      <c r="K598">
        <v>1470.78</v>
      </c>
      <c r="L598">
        <v>5367.4</v>
      </c>
      <c r="M598" t="s">
        <v>50</v>
      </c>
      <c r="N598">
        <v>118</v>
      </c>
    </row>
    <row r="599" spans="1:14" x14ac:dyDescent="0.35">
      <c r="A599">
        <v>100598</v>
      </c>
      <c r="B599">
        <v>52074</v>
      </c>
      <c r="C599" t="s">
        <v>427</v>
      </c>
      <c r="D599" t="s">
        <v>52</v>
      </c>
      <c r="E599" t="s">
        <v>37</v>
      </c>
      <c r="F599" t="s">
        <v>61</v>
      </c>
      <c r="G599" t="s">
        <v>28</v>
      </c>
      <c r="H599">
        <v>5646</v>
      </c>
      <c r="I599">
        <v>4520.83</v>
      </c>
      <c r="J599">
        <v>4520.83</v>
      </c>
      <c r="K599">
        <v>1125.17</v>
      </c>
      <c r="L599">
        <v>1125.17</v>
      </c>
      <c r="M599" t="s">
        <v>19</v>
      </c>
      <c r="N599">
        <v>133</v>
      </c>
    </row>
    <row r="600" spans="1:14" x14ac:dyDescent="0.35">
      <c r="A600">
        <v>100599</v>
      </c>
      <c r="B600">
        <v>12123</v>
      </c>
      <c r="C600" t="s">
        <v>401</v>
      </c>
      <c r="D600" t="s">
        <v>21</v>
      </c>
      <c r="E600" t="s">
        <v>26</v>
      </c>
      <c r="F600" t="s">
        <v>44</v>
      </c>
      <c r="G600" t="s">
        <v>28</v>
      </c>
      <c r="H600">
        <v>12802</v>
      </c>
      <c r="I600">
        <v>8422.8700000000008</v>
      </c>
      <c r="J600">
        <v>8422.8700000000008</v>
      </c>
      <c r="K600">
        <v>4379.13</v>
      </c>
      <c r="L600">
        <v>4379.13</v>
      </c>
      <c r="M600" t="s">
        <v>19</v>
      </c>
      <c r="N600">
        <v>162</v>
      </c>
    </row>
    <row r="601" spans="1:14" x14ac:dyDescent="0.35">
      <c r="A601">
        <v>100600</v>
      </c>
      <c r="B601">
        <v>69948</v>
      </c>
      <c r="C601" t="s">
        <v>437</v>
      </c>
      <c r="D601" t="s">
        <v>30</v>
      </c>
      <c r="E601" t="s">
        <v>37</v>
      </c>
      <c r="F601" t="s">
        <v>44</v>
      </c>
      <c r="G601" t="s">
        <v>72</v>
      </c>
      <c r="H601">
        <v>5388</v>
      </c>
      <c r="I601">
        <v>3446.75</v>
      </c>
      <c r="J601">
        <v>3446.75</v>
      </c>
      <c r="K601">
        <v>1941.25</v>
      </c>
      <c r="L601">
        <v>1941.25</v>
      </c>
      <c r="M601" t="s">
        <v>19</v>
      </c>
      <c r="N601">
        <v>23</v>
      </c>
    </row>
    <row r="602" spans="1:14" x14ac:dyDescent="0.35">
      <c r="A602">
        <v>100601</v>
      </c>
      <c r="B602">
        <v>22146</v>
      </c>
      <c r="C602" t="s">
        <v>438</v>
      </c>
      <c r="D602" t="s">
        <v>52</v>
      </c>
      <c r="E602" t="s">
        <v>41</v>
      </c>
      <c r="F602" t="s">
        <v>27</v>
      </c>
      <c r="G602" t="s">
        <v>28</v>
      </c>
      <c r="H602">
        <v>6816</v>
      </c>
      <c r="I602">
        <v>6039.94</v>
      </c>
      <c r="J602">
        <v>6039.94</v>
      </c>
      <c r="K602">
        <v>776.06</v>
      </c>
      <c r="L602">
        <v>776.06</v>
      </c>
      <c r="M602" t="s">
        <v>19</v>
      </c>
      <c r="N602">
        <v>49</v>
      </c>
    </row>
    <row r="603" spans="1:14" x14ac:dyDescent="0.35">
      <c r="A603">
        <v>100602</v>
      </c>
      <c r="B603">
        <v>55705</v>
      </c>
      <c r="C603" t="s">
        <v>112</v>
      </c>
      <c r="D603" t="s">
        <v>30</v>
      </c>
      <c r="E603" t="s">
        <v>31</v>
      </c>
      <c r="F603" t="s">
        <v>32</v>
      </c>
      <c r="G603" t="s">
        <v>72</v>
      </c>
      <c r="H603">
        <v>3864</v>
      </c>
      <c r="I603">
        <v>2201.2600000000002</v>
      </c>
      <c r="J603">
        <v>0</v>
      </c>
      <c r="K603">
        <v>1662.74</v>
      </c>
      <c r="L603">
        <v>3864</v>
      </c>
      <c r="M603" t="s">
        <v>62</v>
      </c>
      <c r="N603">
        <v>95</v>
      </c>
    </row>
    <row r="604" spans="1:14" x14ac:dyDescent="0.35">
      <c r="A604">
        <v>100603</v>
      </c>
      <c r="B604">
        <v>57175</v>
      </c>
      <c r="C604" t="s">
        <v>215</v>
      </c>
      <c r="D604" t="s">
        <v>65</v>
      </c>
      <c r="E604" t="s">
        <v>56</v>
      </c>
      <c r="F604" t="s">
        <v>17</v>
      </c>
      <c r="G604" t="s">
        <v>47</v>
      </c>
      <c r="H604">
        <v>1919</v>
      </c>
      <c r="I604">
        <v>1162.95</v>
      </c>
      <c r="J604">
        <v>1162.95</v>
      </c>
      <c r="K604">
        <v>756.05</v>
      </c>
      <c r="L604">
        <v>756.05</v>
      </c>
      <c r="M604" t="s">
        <v>19</v>
      </c>
      <c r="N604">
        <v>115</v>
      </c>
    </row>
    <row r="605" spans="1:14" x14ac:dyDescent="0.35">
      <c r="A605">
        <v>100604</v>
      </c>
      <c r="B605">
        <v>74266</v>
      </c>
      <c r="C605" t="s">
        <v>339</v>
      </c>
      <c r="D605" t="s">
        <v>21</v>
      </c>
      <c r="E605" t="s">
        <v>22</v>
      </c>
      <c r="F605" t="s">
        <v>32</v>
      </c>
      <c r="G605" t="s">
        <v>28</v>
      </c>
      <c r="H605">
        <v>7028</v>
      </c>
      <c r="I605">
        <v>5151.08</v>
      </c>
      <c r="J605">
        <v>3748.04</v>
      </c>
      <c r="K605">
        <v>1876.92</v>
      </c>
      <c r="L605">
        <v>3279.96</v>
      </c>
      <c r="M605" t="s">
        <v>39</v>
      </c>
      <c r="N605">
        <v>55</v>
      </c>
    </row>
    <row r="606" spans="1:14" x14ac:dyDescent="0.35">
      <c r="A606">
        <v>100605</v>
      </c>
      <c r="B606">
        <v>31617</v>
      </c>
      <c r="C606" t="s">
        <v>439</v>
      </c>
      <c r="D606" t="s">
        <v>52</v>
      </c>
      <c r="E606" t="s">
        <v>26</v>
      </c>
      <c r="F606" t="s">
        <v>27</v>
      </c>
      <c r="G606" t="s">
        <v>18</v>
      </c>
      <c r="H606">
        <v>11145</v>
      </c>
      <c r="I606">
        <v>9985.57</v>
      </c>
      <c r="J606">
        <v>9985.57</v>
      </c>
      <c r="K606">
        <v>1159.43</v>
      </c>
      <c r="L606">
        <v>1159.43</v>
      </c>
      <c r="M606" t="s">
        <v>19</v>
      </c>
      <c r="N606">
        <v>100</v>
      </c>
    </row>
    <row r="607" spans="1:14" x14ac:dyDescent="0.35">
      <c r="A607">
        <v>100606</v>
      </c>
      <c r="B607">
        <v>63751</v>
      </c>
      <c r="C607" t="s">
        <v>440</v>
      </c>
      <c r="D607" t="s">
        <v>34</v>
      </c>
      <c r="E607" t="s">
        <v>31</v>
      </c>
      <c r="F607" t="s">
        <v>23</v>
      </c>
      <c r="G607" t="s">
        <v>24</v>
      </c>
      <c r="H607">
        <v>18985</v>
      </c>
      <c r="I607">
        <v>14459.81</v>
      </c>
      <c r="J607">
        <v>14459.81</v>
      </c>
      <c r="K607">
        <v>4525.1899999999996</v>
      </c>
      <c r="L607">
        <v>4525.1899999999996</v>
      </c>
      <c r="M607" t="s">
        <v>19</v>
      </c>
      <c r="N607">
        <v>69</v>
      </c>
    </row>
    <row r="608" spans="1:14" x14ac:dyDescent="0.35">
      <c r="A608">
        <v>100607</v>
      </c>
      <c r="B608">
        <v>71681</v>
      </c>
      <c r="C608" t="s">
        <v>302</v>
      </c>
      <c r="D608" t="s">
        <v>34</v>
      </c>
      <c r="E608" t="s">
        <v>22</v>
      </c>
      <c r="F608" t="s">
        <v>17</v>
      </c>
      <c r="G608" t="s">
        <v>24</v>
      </c>
      <c r="H608">
        <v>7701</v>
      </c>
      <c r="I608">
        <v>4726.68</v>
      </c>
      <c r="J608">
        <v>4010.34</v>
      </c>
      <c r="K608">
        <v>2974.32</v>
      </c>
      <c r="L608">
        <v>3690.66</v>
      </c>
      <c r="M608" t="s">
        <v>39</v>
      </c>
      <c r="N608">
        <v>86</v>
      </c>
    </row>
    <row r="609" spans="1:14" x14ac:dyDescent="0.35">
      <c r="A609">
        <v>100608</v>
      </c>
      <c r="B609">
        <v>56543</v>
      </c>
      <c r="C609" t="s">
        <v>441</v>
      </c>
      <c r="D609" t="s">
        <v>30</v>
      </c>
      <c r="E609" t="s">
        <v>43</v>
      </c>
      <c r="F609" t="s">
        <v>54</v>
      </c>
      <c r="G609" t="s">
        <v>28</v>
      </c>
      <c r="H609">
        <v>8342</v>
      </c>
      <c r="I609">
        <v>5043.41</v>
      </c>
      <c r="J609">
        <v>5043.41</v>
      </c>
      <c r="K609">
        <v>3298.59</v>
      </c>
      <c r="L609">
        <v>3298.59</v>
      </c>
      <c r="M609" t="s">
        <v>19</v>
      </c>
      <c r="N609">
        <v>22</v>
      </c>
    </row>
    <row r="610" spans="1:14" x14ac:dyDescent="0.35">
      <c r="A610">
        <v>100609</v>
      </c>
      <c r="B610">
        <v>56121</v>
      </c>
      <c r="C610" t="s">
        <v>442</v>
      </c>
      <c r="D610" t="s">
        <v>65</v>
      </c>
      <c r="E610" t="s">
        <v>41</v>
      </c>
      <c r="F610" t="s">
        <v>23</v>
      </c>
      <c r="G610" t="s">
        <v>38</v>
      </c>
      <c r="H610">
        <v>2379</v>
      </c>
      <c r="I610">
        <v>1895.27</v>
      </c>
      <c r="J610">
        <v>0</v>
      </c>
      <c r="K610">
        <v>483.73</v>
      </c>
      <c r="L610">
        <v>2379</v>
      </c>
      <c r="M610" t="s">
        <v>62</v>
      </c>
      <c r="N610">
        <v>14</v>
      </c>
    </row>
    <row r="611" spans="1:14" x14ac:dyDescent="0.35">
      <c r="A611">
        <v>100610</v>
      </c>
      <c r="B611">
        <v>38849</v>
      </c>
      <c r="C611" t="s">
        <v>443</v>
      </c>
      <c r="D611" t="s">
        <v>15</v>
      </c>
      <c r="E611" t="s">
        <v>41</v>
      </c>
      <c r="F611" t="s">
        <v>17</v>
      </c>
      <c r="G611" t="s">
        <v>18</v>
      </c>
      <c r="H611">
        <v>3657</v>
      </c>
      <c r="I611">
        <v>3199.33</v>
      </c>
      <c r="J611">
        <v>3199.33</v>
      </c>
      <c r="K611">
        <v>457.67</v>
      </c>
      <c r="L611">
        <v>457.67</v>
      </c>
      <c r="M611" t="s">
        <v>19</v>
      </c>
      <c r="N611">
        <v>55</v>
      </c>
    </row>
    <row r="612" spans="1:14" x14ac:dyDescent="0.35">
      <c r="A612">
        <v>100611</v>
      </c>
      <c r="B612">
        <v>26373</v>
      </c>
      <c r="C612" t="s">
        <v>244</v>
      </c>
      <c r="D612" t="s">
        <v>49</v>
      </c>
      <c r="E612" t="s">
        <v>16</v>
      </c>
      <c r="F612" t="s">
        <v>61</v>
      </c>
      <c r="G612" t="s">
        <v>38</v>
      </c>
      <c r="H612">
        <v>14283</v>
      </c>
      <c r="I612">
        <v>11285.96</v>
      </c>
      <c r="J612">
        <v>11285.96</v>
      </c>
      <c r="K612">
        <v>2997.04</v>
      </c>
      <c r="L612">
        <v>2997.04</v>
      </c>
      <c r="M612" t="s">
        <v>19</v>
      </c>
      <c r="N612">
        <v>153</v>
      </c>
    </row>
    <row r="613" spans="1:14" x14ac:dyDescent="0.35">
      <c r="A613">
        <v>100612</v>
      </c>
      <c r="B613">
        <v>87809</v>
      </c>
      <c r="C613" t="s">
        <v>444</v>
      </c>
      <c r="D613" t="s">
        <v>65</v>
      </c>
      <c r="E613" t="s">
        <v>43</v>
      </c>
      <c r="F613" t="s">
        <v>61</v>
      </c>
      <c r="G613" t="s">
        <v>38</v>
      </c>
      <c r="H613">
        <v>21631</v>
      </c>
      <c r="I613">
        <v>12076.61</v>
      </c>
      <c r="J613">
        <v>12076.61</v>
      </c>
      <c r="K613">
        <v>9554.39</v>
      </c>
      <c r="L613">
        <v>9554.39</v>
      </c>
      <c r="M613" t="s">
        <v>19</v>
      </c>
      <c r="N613">
        <v>5</v>
      </c>
    </row>
    <row r="614" spans="1:14" x14ac:dyDescent="0.35">
      <c r="A614">
        <v>100613</v>
      </c>
      <c r="B614">
        <v>84270</v>
      </c>
      <c r="C614" t="s">
        <v>445</v>
      </c>
      <c r="D614" t="s">
        <v>30</v>
      </c>
      <c r="E614" t="s">
        <v>37</v>
      </c>
      <c r="F614" t="s">
        <v>61</v>
      </c>
      <c r="G614" t="s">
        <v>47</v>
      </c>
      <c r="H614">
        <v>5311</v>
      </c>
      <c r="I614">
        <v>3825.54</v>
      </c>
      <c r="J614">
        <v>3825.54</v>
      </c>
      <c r="K614">
        <v>1485.46</v>
      </c>
      <c r="L614">
        <v>1485.46</v>
      </c>
      <c r="M614" t="s">
        <v>19</v>
      </c>
      <c r="N614">
        <v>3</v>
      </c>
    </row>
    <row r="615" spans="1:14" x14ac:dyDescent="0.35">
      <c r="A615">
        <v>100614</v>
      </c>
      <c r="B615">
        <v>77825</v>
      </c>
      <c r="C615" t="s">
        <v>446</v>
      </c>
      <c r="D615" t="s">
        <v>49</v>
      </c>
      <c r="E615" t="s">
        <v>26</v>
      </c>
      <c r="F615" t="s">
        <v>17</v>
      </c>
      <c r="G615" t="s">
        <v>45</v>
      </c>
      <c r="H615">
        <v>24649</v>
      </c>
      <c r="I615">
        <v>22604.93</v>
      </c>
      <c r="J615">
        <v>22604.93</v>
      </c>
      <c r="K615">
        <v>2044.07</v>
      </c>
      <c r="L615">
        <v>2044.07</v>
      </c>
      <c r="M615" t="s">
        <v>19</v>
      </c>
      <c r="N615">
        <v>177</v>
      </c>
    </row>
    <row r="616" spans="1:14" x14ac:dyDescent="0.35">
      <c r="A616">
        <v>100615</v>
      </c>
      <c r="B616">
        <v>75288</v>
      </c>
      <c r="C616" t="s">
        <v>251</v>
      </c>
      <c r="D616" t="s">
        <v>30</v>
      </c>
      <c r="E616" t="s">
        <v>41</v>
      </c>
      <c r="F616" t="s">
        <v>32</v>
      </c>
      <c r="G616" t="s">
        <v>24</v>
      </c>
      <c r="H616">
        <v>16191</v>
      </c>
      <c r="I616">
        <v>14752.67</v>
      </c>
      <c r="J616">
        <v>14752.67</v>
      </c>
      <c r="K616">
        <v>1438.33</v>
      </c>
      <c r="L616">
        <v>1438.33</v>
      </c>
      <c r="M616" t="s">
        <v>19</v>
      </c>
      <c r="N616">
        <v>14</v>
      </c>
    </row>
    <row r="617" spans="1:14" x14ac:dyDescent="0.35">
      <c r="A617">
        <v>100616</v>
      </c>
      <c r="B617">
        <v>27468</v>
      </c>
      <c r="C617" t="s">
        <v>137</v>
      </c>
      <c r="D617" t="s">
        <v>30</v>
      </c>
      <c r="E617" t="s">
        <v>26</v>
      </c>
      <c r="F617" t="s">
        <v>35</v>
      </c>
      <c r="G617" t="s">
        <v>72</v>
      </c>
      <c r="H617">
        <v>2321</v>
      </c>
      <c r="I617">
        <v>2092.61</v>
      </c>
      <c r="J617">
        <v>2092.61</v>
      </c>
      <c r="K617">
        <v>228.39</v>
      </c>
      <c r="L617">
        <v>228.39</v>
      </c>
      <c r="M617" t="s">
        <v>19</v>
      </c>
      <c r="N617">
        <v>148</v>
      </c>
    </row>
    <row r="618" spans="1:14" x14ac:dyDescent="0.35">
      <c r="A618">
        <v>100617</v>
      </c>
      <c r="B618">
        <v>89288</v>
      </c>
      <c r="C618" t="s">
        <v>447</v>
      </c>
      <c r="D618" t="s">
        <v>34</v>
      </c>
      <c r="E618" t="s">
        <v>31</v>
      </c>
      <c r="F618" t="s">
        <v>61</v>
      </c>
      <c r="G618" t="s">
        <v>24</v>
      </c>
      <c r="H618">
        <v>1858</v>
      </c>
      <c r="I618">
        <v>1132.5999999999999</v>
      </c>
      <c r="J618">
        <v>1132.5999999999999</v>
      </c>
      <c r="K618">
        <v>725.4</v>
      </c>
      <c r="L618">
        <v>725.4</v>
      </c>
      <c r="M618" t="s">
        <v>19</v>
      </c>
      <c r="N618">
        <v>41</v>
      </c>
    </row>
    <row r="619" spans="1:14" x14ac:dyDescent="0.35">
      <c r="A619">
        <v>100618</v>
      </c>
      <c r="B619">
        <v>74528</v>
      </c>
      <c r="C619" t="s">
        <v>448</v>
      </c>
      <c r="D619" t="s">
        <v>49</v>
      </c>
      <c r="E619" t="s">
        <v>37</v>
      </c>
      <c r="F619" t="s">
        <v>32</v>
      </c>
      <c r="G619" t="s">
        <v>47</v>
      </c>
      <c r="H619">
        <v>6691</v>
      </c>
      <c r="I619">
        <v>5039.2700000000004</v>
      </c>
      <c r="J619">
        <v>5039.2700000000004</v>
      </c>
      <c r="K619">
        <v>1651.73</v>
      </c>
      <c r="L619">
        <v>1651.73</v>
      </c>
      <c r="M619" t="s">
        <v>19</v>
      </c>
      <c r="N619">
        <v>180</v>
      </c>
    </row>
    <row r="620" spans="1:14" x14ac:dyDescent="0.35">
      <c r="A620">
        <v>100619</v>
      </c>
      <c r="B620">
        <v>51439</v>
      </c>
      <c r="C620" t="s">
        <v>171</v>
      </c>
      <c r="D620" t="s">
        <v>52</v>
      </c>
      <c r="E620" t="s">
        <v>37</v>
      </c>
      <c r="F620" t="s">
        <v>17</v>
      </c>
      <c r="G620" t="s">
        <v>47</v>
      </c>
      <c r="H620">
        <v>10918</v>
      </c>
      <c r="I620">
        <v>6833.33</v>
      </c>
      <c r="J620">
        <v>6833.33</v>
      </c>
      <c r="K620">
        <v>4084.67</v>
      </c>
      <c r="L620">
        <v>4084.67</v>
      </c>
      <c r="M620" t="s">
        <v>19</v>
      </c>
      <c r="N620">
        <v>98</v>
      </c>
    </row>
    <row r="621" spans="1:14" x14ac:dyDescent="0.35">
      <c r="A621">
        <v>100620</v>
      </c>
      <c r="B621">
        <v>68611</v>
      </c>
      <c r="C621" t="s">
        <v>449</v>
      </c>
      <c r="D621" t="s">
        <v>52</v>
      </c>
      <c r="E621" t="s">
        <v>43</v>
      </c>
      <c r="F621" t="s">
        <v>61</v>
      </c>
      <c r="G621" t="s">
        <v>45</v>
      </c>
      <c r="H621">
        <v>10290</v>
      </c>
      <c r="I621">
        <v>6637.58</v>
      </c>
      <c r="J621">
        <v>6637.58</v>
      </c>
      <c r="K621">
        <v>3652.42</v>
      </c>
      <c r="L621">
        <v>3652.42</v>
      </c>
      <c r="M621" t="s">
        <v>19</v>
      </c>
      <c r="N621">
        <v>101</v>
      </c>
    </row>
    <row r="622" spans="1:14" x14ac:dyDescent="0.35">
      <c r="A622">
        <v>100621</v>
      </c>
      <c r="B622">
        <v>60388</v>
      </c>
      <c r="C622" t="s">
        <v>202</v>
      </c>
      <c r="D622" t="s">
        <v>52</v>
      </c>
      <c r="E622" t="s">
        <v>43</v>
      </c>
      <c r="F622" t="s">
        <v>27</v>
      </c>
      <c r="G622" t="s">
        <v>38</v>
      </c>
      <c r="H622">
        <v>17038</v>
      </c>
      <c r="I622">
        <v>10945.46</v>
      </c>
      <c r="J622">
        <v>1960.68</v>
      </c>
      <c r="K622">
        <v>6092.54</v>
      </c>
      <c r="L622">
        <v>15077.32</v>
      </c>
      <c r="M622" t="s">
        <v>50</v>
      </c>
      <c r="N622">
        <v>22</v>
      </c>
    </row>
    <row r="623" spans="1:14" x14ac:dyDescent="0.35">
      <c r="A623">
        <v>100622</v>
      </c>
      <c r="B623">
        <v>36645</v>
      </c>
      <c r="C623" t="s">
        <v>450</v>
      </c>
      <c r="D623" t="s">
        <v>34</v>
      </c>
      <c r="E623" t="s">
        <v>56</v>
      </c>
      <c r="F623" t="s">
        <v>44</v>
      </c>
      <c r="G623" t="s">
        <v>72</v>
      </c>
      <c r="H623">
        <v>21032</v>
      </c>
      <c r="I623">
        <v>11811.54</v>
      </c>
      <c r="J623">
        <v>11811.54</v>
      </c>
      <c r="K623">
        <v>9220.4599999999991</v>
      </c>
      <c r="L623">
        <v>9220.4599999999991</v>
      </c>
      <c r="M623" t="s">
        <v>19</v>
      </c>
      <c r="N623">
        <v>28</v>
      </c>
    </row>
    <row r="624" spans="1:14" x14ac:dyDescent="0.35">
      <c r="A624">
        <v>100623</v>
      </c>
      <c r="B624">
        <v>27346</v>
      </c>
      <c r="C624" t="s">
        <v>451</v>
      </c>
      <c r="D624" t="s">
        <v>15</v>
      </c>
      <c r="E624" t="s">
        <v>16</v>
      </c>
      <c r="F624" t="s">
        <v>44</v>
      </c>
      <c r="G624" t="s">
        <v>47</v>
      </c>
      <c r="H624">
        <v>1554</v>
      </c>
      <c r="I624">
        <v>1060.0899999999999</v>
      </c>
      <c r="J624">
        <v>1060.0899999999999</v>
      </c>
      <c r="K624">
        <v>493.91</v>
      </c>
      <c r="L624">
        <v>493.91</v>
      </c>
      <c r="M624" t="s">
        <v>19</v>
      </c>
      <c r="N624">
        <v>1</v>
      </c>
    </row>
    <row r="625" spans="1:14" x14ac:dyDescent="0.35">
      <c r="A625">
        <v>100624</v>
      </c>
      <c r="B625">
        <v>10274</v>
      </c>
      <c r="C625" t="s">
        <v>118</v>
      </c>
      <c r="D625" t="s">
        <v>21</v>
      </c>
      <c r="E625" t="s">
        <v>26</v>
      </c>
      <c r="F625" t="s">
        <v>44</v>
      </c>
      <c r="G625" t="s">
        <v>24</v>
      </c>
      <c r="H625">
        <v>18117</v>
      </c>
      <c r="I625">
        <v>11180.19</v>
      </c>
      <c r="J625">
        <v>11180.19</v>
      </c>
      <c r="K625">
        <v>6936.81</v>
      </c>
      <c r="L625">
        <v>6936.81</v>
      </c>
      <c r="M625" t="s">
        <v>19</v>
      </c>
      <c r="N625">
        <v>102</v>
      </c>
    </row>
    <row r="626" spans="1:14" x14ac:dyDescent="0.35">
      <c r="A626">
        <v>100625</v>
      </c>
      <c r="B626">
        <v>31036</v>
      </c>
      <c r="C626" t="s">
        <v>207</v>
      </c>
      <c r="D626" t="s">
        <v>52</v>
      </c>
      <c r="E626" t="s">
        <v>43</v>
      </c>
      <c r="F626" t="s">
        <v>35</v>
      </c>
      <c r="G626" t="s">
        <v>47</v>
      </c>
      <c r="H626">
        <v>23670</v>
      </c>
      <c r="I626">
        <v>22026.86</v>
      </c>
      <c r="J626">
        <v>16353.94</v>
      </c>
      <c r="K626">
        <v>1643.14</v>
      </c>
      <c r="L626">
        <v>7316.06</v>
      </c>
      <c r="M626" t="s">
        <v>39</v>
      </c>
      <c r="N626">
        <v>130</v>
      </c>
    </row>
    <row r="627" spans="1:14" x14ac:dyDescent="0.35">
      <c r="A627">
        <v>100626</v>
      </c>
      <c r="B627">
        <v>13427</v>
      </c>
      <c r="C627" t="s">
        <v>452</v>
      </c>
      <c r="D627" t="s">
        <v>30</v>
      </c>
      <c r="E627" t="s">
        <v>31</v>
      </c>
      <c r="F627" t="s">
        <v>61</v>
      </c>
      <c r="G627" t="s">
        <v>18</v>
      </c>
      <c r="H627">
        <v>1390</v>
      </c>
      <c r="I627">
        <v>1253.5</v>
      </c>
      <c r="J627">
        <v>1253.5</v>
      </c>
      <c r="K627">
        <v>136.5</v>
      </c>
      <c r="L627">
        <v>136.5</v>
      </c>
      <c r="M627" t="s">
        <v>19</v>
      </c>
      <c r="N627">
        <v>110</v>
      </c>
    </row>
    <row r="628" spans="1:14" x14ac:dyDescent="0.35">
      <c r="A628">
        <v>100627</v>
      </c>
      <c r="B628">
        <v>78131</v>
      </c>
      <c r="C628" t="s">
        <v>248</v>
      </c>
      <c r="D628" t="s">
        <v>34</v>
      </c>
      <c r="E628" t="s">
        <v>56</v>
      </c>
      <c r="F628" t="s">
        <v>44</v>
      </c>
      <c r="G628" t="s">
        <v>72</v>
      </c>
      <c r="H628">
        <v>22279</v>
      </c>
      <c r="I628">
        <v>16711.09</v>
      </c>
      <c r="J628">
        <v>16711.09</v>
      </c>
      <c r="K628">
        <v>5567.91</v>
      </c>
      <c r="L628">
        <v>5567.91</v>
      </c>
      <c r="M628" t="s">
        <v>19</v>
      </c>
      <c r="N628">
        <v>28</v>
      </c>
    </row>
    <row r="629" spans="1:14" x14ac:dyDescent="0.35">
      <c r="A629">
        <v>100628</v>
      </c>
      <c r="B629">
        <v>75469</v>
      </c>
      <c r="C629" t="s">
        <v>159</v>
      </c>
      <c r="D629" t="s">
        <v>52</v>
      </c>
      <c r="E629" t="s">
        <v>37</v>
      </c>
      <c r="F629" t="s">
        <v>27</v>
      </c>
      <c r="G629" t="s">
        <v>72</v>
      </c>
      <c r="H629">
        <v>19970</v>
      </c>
      <c r="I629">
        <v>18111.72</v>
      </c>
      <c r="J629">
        <v>18111.72</v>
      </c>
      <c r="K629">
        <v>1858.28</v>
      </c>
      <c r="L629">
        <v>1858.28</v>
      </c>
      <c r="M629" t="s">
        <v>19</v>
      </c>
      <c r="N629">
        <v>35</v>
      </c>
    </row>
    <row r="630" spans="1:14" x14ac:dyDescent="0.35">
      <c r="A630">
        <v>100629</v>
      </c>
      <c r="B630">
        <v>71080</v>
      </c>
      <c r="C630" t="s">
        <v>453</v>
      </c>
      <c r="D630" t="s">
        <v>34</v>
      </c>
      <c r="E630" t="s">
        <v>41</v>
      </c>
      <c r="F630" t="s">
        <v>23</v>
      </c>
      <c r="G630" t="s">
        <v>28</v>
      </c>
      <c r="H630">
        <v>9377</v>
      </c>
      <c r="I630">
        <v>7805.39</v>
      </c>
      <c r="J630">
        <v>7805.39</v>
      </c>
      <c r="K630">
        <v>1571.61</v>
      </c>
      <c r="L630">
        <v>1571.61</v>
      </c>
      <c r="M630" t="s">
        <v>19</v>
      </c>
      <c r="N630">
        <v>174</v>
      </c>
    </row>
    <row r="631" spans="1:14" x14ac:dyDescent="0.35">
      <c r="A631">
        <v>100630</v>
      </c>
      <c r="B631">
        <v>92053</v>
      </c>
      <c r="C631" t="s">
        <v>454</v>
      </c>
      <c r="D631" t="s">
        <v>30</v>
      </c>
      <c r="E631" t="s">
        <v>43</v>
      </c>
      <c r="F631" t="s">
        <v>32</v>
      </c>
      <c r="G631" t="s">
        <v>38</v>
      </c>
      <c r="H631">
        <v>16837</v>
      </c>
      <c r="I631">
        <v>12695.21</v>
      </c>
      <c r="J631">
        <v>0</v>
      </c>
      <c r="K631">
        <v>4141.79</v>
      </c>
      <c r="L631">
        <v>16837</v>
      </c>
      <c r="M631" t="s">
        <v>62</v>
      </c>
      <c r="N631">
        <v>160</v>
      </c>
    </row>
    <row r="632" spans="1:14" x14ac:dyDescent="0.35">
      <c r="A632">
        <v>100631</v>
      </c>
      <c r="B632">
        <v>28533</v>
      </c>
      <c r="C632" t="s">
        <v>103</v>
      </c>
      <c r="D632" t="s">
        <v>49</v>
      </c>
      <c r="E632" t="s">
        <v>16</v>
      </c>
      <c r="F632" t="s">
        <v>54</v>
      </c>
      <c r="G632" t="s">
        <v>47</v>
      </c>
      <c r="H632">
        <v>8960</v>
      </c>
      <c r="I632">
        <v>6821.37</v>
      </c>
      <c r="J632">
        <v>3468.87</v>
      </c>
      <c r="K632">
        <v>2138.63</v>
      </c>
      <c r="L632">
        <v>5491.13</v>
      </c>
      <c r="M632" t="s">
        <v>39</v>
      </c>
      <c r="N632">
        <v>115</v>
      </c>
    </row>
    <row r="633" spans="1:14" x14ac:dyDescent="0.35">
      <c r="A633">
        <v>100632</v>
      </c>
      <c r="B633">
        <v>98031</v>
      </c>
      <c r="C633" t="s">
        <v>455</v>
      </c>
      <c r="D633" t="s">
        <v>34</v>
      </c>
      <c r="E633" t="s">
        <v>26</v>
      </c>
      <c r="F633" t="s">
        <v>44</v>
      </c>
      <c r="G633" t="s">
        <v>38</v>
      </c>
      <c r="H633">
        <v>519</v>
      </c>
      <c r="I633">
        <v>349.99</v>
      </c>
      <c r="J633">
        <v>349.99</v>
      </c>
      <c r="K633">
        <v>169.01</v>
      </c>
      <c r="L633">
        <v>169.01</v>
      </c>
      <c r="M633" t="s">
        <v>19</v>
      </c>
      <c r="N633">
        <v>62</v>
      </c>
    </row>
    <row r="634" spans="1:14" x14ac:dyDescent="0.35">
      <c r="A634">
        <v>100633</v>
      </c>
      <c r="B634">
        <v>31877</v>
      </c>
      <c r="C634" t="s">
        <v>456</v>
      </c>
      <c r="D634" t="s">
        <v>21</v>
      </c>
      <c r="E634" t="s">
        <v>41</v>
      </c>
      <c r="F634" t="s">
        <v>17</v>
      </c>
      <c r="G634" t="s">
        <v>18</v>
      </c>
      <c r="H634">
        <v>20308</v>
      </c>
      <c r="I634">
        <v>18849.87</v>
      </c>
      <c r="J634">
        <v>4495.71</v>
      </c>
      <c r="K634">
        <v>1458.13</v>
      </c>
      <c r="L634">
        <v>15812.29</v>
      </c>
      <c r="M634" t="s">
        <v>50</v>
      </c>
      <c r="N634">
        <v>51</v>
      </c>
    </row>
    <row r="635" spans="1:14" x14ac:dyDescent="0.35">
      <c r="A635">
        <v>100634</v>
      </c>
      <c r="B635">
        <v>27487</v>
      </c>
      <c r="C635" t="s">
        <v>457</v>
      </c>
      <c r="D635" t="s">
        <v>65</v>
      </c>
      <c r="E635" t="s">
        <v>22</v>
      </c>
      <c r="F635" t="s">
        <v>35</v>
      </c>
      <c r="G635" t="s">
        <v>28</v>
      </c>
      <c r="H635">
        <v>17128</v>
      </c>
      <c r="I635">
        <v>14795.31</v>
      </c>
      <c r="J635">
        <v>0</v>
      </c>
      <c r="K635">
        <v>2332.69</v>
      </c>
      <c r="L635">
        <v>17128</v>
      </c>
      <c r="M635" t="s">
        <v>62</v>
      </c>
      <c r="N635">
        <v>141</v>
      </c>
    </row>
    <row r="636" spans="1:14" x14ac:dyDescent="0.35">
      <c r="A636">
        <v>100635</v>
      </c>
      <c r="B636">
        <v>34432</v>
      </c>
      <c r="C636" t="s">
        <v>211</v>
      </c>
      <c r="D636" t="s">
        <v>21</v>
      </c>
      <c r="E636" t="s">
        <v>41</v>
      </c>
      <c r="F636" t="s">
        <v>32</v>
      </c>
      <c r="G636" t="s">
        <v>38</v>
      </c>
      <c r="H636">
        <v>4357</v>
      </c>
      <c r="I636">
        <v>3326.14</v>
      </c>
      <c r="J636">
        <v>3326.14</v>
      </c>
      <c r="K636">
        <v>1030.8599999999999</v>
      </c>
      <c r="L636">
        <v>1030.8599999999999</v>
      </c>
      <c r="M636" t="s">
        <v>19</v>
      </c>
      <c r="N636">
        <v>148</v>
      </c>
    </row>
    <row r="637" spans="1:14" x14ac:dyDescent="0.35">
      <c r="A637">
        <v>100636</v>
      </c>
      <c r="B637">
        <v>90943</v>
      </c>
      <c r="C637" t="s">
        <v>458</v>
      </c>
      <c r="D637" t="s">
        <v>52</v>
      </c>
      <c r="E637" t="s">
        <v>22</v>
      </c>
      <c r="F637" t="s">
        <v>17</v>
      </c>
      <c r="G637" t="s">
        <v>47</v>
      </c>
      <c r="H637">
        <v>2674</v>
      </c>
      <c r="I637">
        <v>2389.9299999999998</v>
      </c>
      <c r="J637">
        <v>2389.9299999999998</v>
      </c>
      <c r="K637">
        <v>284.07</v>
      </c>
      <c r="L637">
        <v>284.07</v>
      </c>
      <c r="M637" t="s">
        <v>19</v>
      </c>
      <c r="N637">
        <v>5</v>
      </c>
    </row>
    <row r="638" spans="1:14" x14ac:dyDescent="0.35">
      <c r="A638">
        <v>100637</v>
      </c>
      <c r="B638">
        <v>64425</v>
      </c>
      <c r="C638" t="s">
        <v>376</v>
      </c>
      <c r="D638" t="s">
        <v>65</v>
      </c>
      <c r="E638" t="s">
        <v>31</v>
      </c>
      <c r="F638" t="s">
        <v>32</v>
      </c>
      <c r="G638" t="s">
        <v>45</v>
      </c>
      <c r="H638">
        <v>12090</v>
      </c>
      <c r="I638">
        <v>10565.48</v>
      </c>
      <c r="J638">
        <v>10565.48</v>
      </c>
      <c r="K638">
        <v>1524.52</v>
      </c>
      <c r="L638">
        <v>1524.52</v>
      </c>
      <c r="M638" t="s">
        <v>19</v>
      </c>
      <c r="N638">
        <v>71</v>
      </c>
    </row>
    <row r="639" spans="1:14" x14ac:dyDescent="0.35">
      <c r="A639">
        <v>100638</v>
      </c>
      <c r="B639">
        <v>16089</v>
      </c>
      <c r="C639" t="s">
        <v>302</v>
      </c>
      <c r="D639" t="s">
        <v>34</v>
      </c>
      <c r="E639" t="s">
        <v>41</v>
      </c>
      <c r="F639" t="s">
        <v>54</v>
      </c>
      <c r="G639" t="s">
        <v>38</v>
      </c>
      <c r="H639">
        <v>15051</v>
      </c>
      <c r="I639">
        <v>10162.41</v>
      </c>
      <c r="J639">
        <v>4276.05</v>
      </c>
      <c r="K639">
        <v>4888.59</v>
      </c>
      <c r="L639">
        <v>10774.95</v>
      </c>
      <c r="M639" t="s">
        <v>39</v>
      </c>
      <c r="N639">
        <v>124</v>
      </c>
    </row>
    <row r="640" spans="1:14" x14ac:dyDescent="0.35">
      <c r="A640">
        <v>100639</v>
      </c>
      <c r="B640">
        <v>12520</v>
      </c>
      <c r="C640" t="s">
        <v>459</v>
      </c>
      <c r="D640" t="s">
        <v>65</v>
      </c>
      <c r="E640" t="s">
        <v>56</v>
      </c>
      <c r="F640" t="s">
        <v>23</v>
      </c>
      <c r="G640" t="s">
        <v>18</v>
      </c>
      <c r="H640">
        <v>24966</v>
      </c>
      <c r="I640">
        <v>15769.86</v>
      </c>
      <c r="J640">
        <v>15769.86</v>
      </c>
      <c r="K640">
        <v>9196.14</v>
      </c>
      <c r="L640">
        <v>9196.14</v>
      </c>
      <c r="M640" t="s">
        <v>19</v>
      </c>
      <c r="N640">
        <v>119</v>
      </c>
    </row>
    <row r="641" spans="1:14" x14ac:dyDescent="0.35">
      <c r="A641">
        <v>100640</v>
      </c>
      <c r="B641">
        <v>95712</v>
      </c>
      <c r="C641" t="s">
        <v>460</v>
      </c>
      <c r="D641" t="s">
        <v>65</v>
      </c>
      <c r="E641" t="s">
        <v>37</v>
      </c>
      <c r="F641" t="s">
        <v>44</v>
      </c>
      <c r="G641" t="s">
        <v>45</v>
      </c>
      <c r="H641">
        <v>1212</v>
      </c>
      <c r="I641">
        <v>963.67</v>
      </c>
      <c r="J641">
        <v>963.67</v>
      </c>
      <c r="K641">
        <v>248.33</v>
      </c>
      <c r="L641">
        <v>248.33</v>
      </c>
      <c r="M641" t="s">
        <v>19</v>
      </c>
      <c r="N641">
        <v>112</v>
      </c>
    </row>
    <row r="642" spans="1:14" x14ac:dyDescent="0.35">
      <c r="A642">
        <v>100641</v>
      </c>
      <c r="B642">
        <v>31338</v>
      </c>
      <c r="C642" t="s">
        <v>219</v>
      </c>
      <c r="D642" t="s">
        <v>30</v>
      </c>
      <c r="E642" t="s">
        <v>56</v>
      </c>
      <c r="F642" t="s">
        <v>32</v>
      </c>
      <c r="G642" t="s">
        <v>18</v>
      </c>
      <c r="H642">
        <v>18834</v>
      </c>
      <c r="I642">
        <v>14471.13</v>
      </c>
      <c r="J642">
        <v>14471.13</v>
      </c>
      <c r="K642">
        <v>4362.87</v>
      </c>
      <c r="L642">
        <v>4362.87</v>
      </c>
      <c r="M642" t="s">
        <v>19</v>
      </c>
      <c r="N642">
        <v>51</v>
      </c>
    </row>
    <row r="643" spans="1:14" x14ac:dyDescent="0.35">
      <c r="A643">
        <v>100642</v>
      </c>
      <c r="B643">
        <v>13045</v>
      </c>
      <c r="C643" t="s">
        <v>145</v>
      </c>
      <c r="D643" t="s">
        <v>21</v>
      </c>
      <c r="E643" t="s">
        <v>37</v>
      </c>
      <c r="F643" t="s">
        <v>35</v>
      </c>
      <c r="G643" t="s">
        <v>47</v>
      </c>
      <c r="H643">
        <v>17635</v>
      </c>
      <c r="I643">
        <v>14500.79</v>
      </c>
      <c r="J643">
        <v>340.31</v>
      </c>
      <c r="K643">
        <v>3134.21</v>
      </c>
      <c r="L643">
        <v>17294.689999999999</v>
      </c>
      <c r="M643" t="s">
        <v>50</v>
      </c>
      <c r="N643">
        <v>55</v>
      </c>
    </row>
    <row r="644" spans="1:14" x14ac:dyDescent="0.35">
      <c r="A644">
        <v>100643</v>
      </c>
      <c r="B644">
        <v>94294</v>
      </c>
      <c r="C644" t="s">
        <v>461</v>
      </c>
      <c r="D644" t="s">
        <v>34</v>
      </c>
      <c r="E644" t="s">
        <v>16</v>
      </c>
      <c r="F644" t="s">
        <v>23</v>
      </c>
      <c r="G644" t="s">
        <v>45</v>
      </c>
      <c r="H644">
        <v>20888</v>
      </c>
      <c r="I644">
        <v>16215.38</v>
      </c>
      <c r="J644">
        <v>7731.62</v>
      </c>
      <c r="K644">
        <v>4672.62</v>
      </c>
      <c r="L644">
        <v>13156.38</v>
      </c>
      <c r="M644" t="s">
        <v>39</v>
      </c>
      <c r="N644">
        <v>160</v>
      </c>
    </row>
    <row r="645" spans="1:14" x14ac:dyDescent="0.35">
      <c r="A645">
        <v>100644</v>
      </c>
      <c r="B645">
        <v>79580</v>
      </c>
      <c r="C645" t="s">
        <v>333</v>
      </c>
      <c r="D645" t="s">
        <v>65</v>
      </c>
      <c r="E645" t="s">
        <v>16</v>
      </c>
      <c r="F645" t="s">
        <v>61</v>
      </c>
      <c r="G645" t="s">
        <v>47</v>
      </c>
      <c r="H645">
        <v>16856</v>
      </c>
      <c r="I645">
        <v>13605.69</v>
      </c>
      <c r="J645">
        <v>13605.69</v>
      </c>
      <c r="K645">
        <v>3250.31</v>
      </c>
      <c r="L645">
        <v>3250.31</v>
      </c>
      <c r="M645" t="s">
        <v>19</v>
      </c>
      <c r="N645">
        <v>52</v>
      </c>
    </row>
    <row r="646" spans="1:14" x14ac:dyDescent="0.35">
      <c r="A646">
        <v>100645</v>
      </c>
      <c r="B646">
        <v>82962</v>
      </c>
      <c r="C646" t="s">
        <v>239</v>
      </c>
      <c r="D646" t="s">
        <v>52</v>
      </c>
      <c r="E646" t="s">
        <v>56</v>
      </c>
      <c r="F646" t="s">
        <v>23</v>
      </c>
      <c r="G646" t="s">
        <v>18</v>
      </c>
      <c r="H646">
        <v>9600</v>
      </c>
      <c r="I646">
        <v>5752.16</v>
      </c>
      <c r="J646">
        <v>5752.16</v>
      </c>
      <c r="K646">
        <v>3847.84</v>
      </c>
      <c r="L646">
        <v>3847.84</v>
      </c>
      <c r="M646" t="s">
        <v>19</v>
      </c>
      <c r="N646">
        <v>63</v>
      </c>
    </row>
    <row r="647" spans="1:14" x14ac:dyDescent="0.35">
      <c r="A647">
        <v>100646</v>
      </c>
      <c r="B647">
        <v>28591</v>
      </c>
      <c r="C647" t="s">
        <v>304</v>
      </c>
      <c r="D647" t="s">
        <v>52</v>
      </c>
      <c r="E647" t="s">
        <v>16</v>
      </c>
      <c r="F647" t="s">
        <v>32</v>
      </c>
      <c r="G647" t="s">
        <v>18</v>
      </c>
      <c r="H647">
        <v>18188</v>
      </c>
      <c r="I647">
        <v>14457.7</v>
      </c>
      <c r="J647">
        <v>14457.7</v>
      </c>
      <c r="K647">
        <v>3730.3</v>
      </c>
      <c r="L647">
        <v>3730.3</v>
      </c>
      <c r="M647" t="s">
        <v>19</v>
      </c>
      <c r="N647">
        <v>126</v>
      </c>
    </row>
    <row r="648" spans="1:14" x14ac:dyDescent="0.35">
      <c r="A648">
        <v>100647</v>
      </c>
      <c r="B648">
        <v>98979</v>
      </c>
      <c r="C648" t="s">
        <v>36</v>
      </c>
      <c r="D648" t="s">
        <v>15</v>
      </c>
      <c r="E648" t="s">
        <v>26</v>
      </c>
      <c r="F648" t="s">
        <v>61</v>
      </c>
      <c r="G648" t="s">
        <v>24</v>
      </c>
      <c r="H648">
        <v>14290</v>
      </c>
      <c r="I648">
        <v>10000.81</v>
      </c>
      <c r="J648">
        <v>6745.26</v>
      </c>
      <c r="K648">
        <v>4289.1899999999996</v>
      </c>
      <c r="L648">
        <v>7544.74</v>
      </c>
      <c r="M648" t="s">
        <v>39</v>
      </c>
      <c r="N648">
        <v>5</v>
      </c>
    </row>
    <row r="649" spans="1:14" x14ac:dyDescent="0.35">
      <c r="A649">
        <v>100648</v>
      </c>
      <c r="B649">
        <v>36526</v>
      </c>
      <c r="C649" t="s">
        <v>462</v>
      </c>
      <c r="D649" t="s">
        <v>34</v>
      </c>
      <c r="E649" t="s">
        <v>16</v>
      </c>
      <c r="F649" t="s">
        <v>44</v>
      </c>
      <c r="G649" t="s">
        <v>45</v>
      </c>
      <c r="H649">
        <v>9863</v>
      </c>
      <c r="I649">
        <v>6544.32</v>
      </c>
      <c r="J649">
        <v>6544.32</v>
      </c>
      <c r="K649">
        <v>3318.68</v>
      </c>
      <c r="L649">
        <v>3318.68</v>
      </c>
      <c r="M649" t="s">
        <v>19</v>
      </c>
      <c r="N649">
        <v>35</v>
      </c>
    </row>
    <row r="650" spans="1:14" x14ac:dyDescent="0.35">
      <c r="A650">
        <v>100649</v>
      </c>
      <c r="B650">
        <v>96784</v>
      </c>
      <c r="C650" t="s">
        <v>331</v>
      </c>
      <c r="D650" t="s">
        <v>30</v>
      </c>
      <c r="E650" t="s">
        <v>41</v>
      </c>
      <c r="F650" t="s">
        <v>35</v>
      </c>
      <c r="G650" t="s">
        <v>24</v>
      </c>
      <c r="H650">
        <v>1746</v>
      </c>
      <c r="I650">
        <v>1186.74</v>
      </c>
      <c r="J650">
        <v>0</v>
      </c>
      <c r="K650">
        <v>559.26</v>
      </c>
      <c r="L650">
        <v>1746</v>
      </c>
      <c r="M650" t="s">
        <v>62</v>
      </c>
      <c r="N650">
        <v>49</v>
      </c>
    </row>
    <row r="651" spans="1:14" x14ac:dyDescent="0.35">
      <c r="A651">
        <v>100650</v>
      </c>
      <c r="B651">
        <v>75606</v>
      </c>
      <c r="C651" t="s">
        <v>428</v>
      </c>
      <c r="D651" t="s">
        <v>49</v>
      </c>
      <c r="E651" t="s">
        <v>43</v>
      </c>
      <c r="F651" t="s">
        <v>23</v>
      </c>
      <c r="G651" t="s">
        <v>24</v>
      </c>
      <c r="H651">
        <v>12783</v>
      </c>
      <c r="I651">
        <v>10014.42</v>
      </c>
      <c r="J651">
        <v>5549.97</v>
      </c>
      <c r="K651">
        <v>2768.58</v>
      </c>
      <c r="L651">
        <v>7233.03</v>
      </c>
      <c r="M651" t="s">
        <v>39</v>
      </c>
      <c r="N651">
        <v>115</v>
      </c>
    </row>
    <row r="652" spans="1:14" x14ac:dyDescent="0.35">
      <c r="A652">
        <v>100651</v>
      </c>
      <c r="B652">
        <v>35452</v>
      </c>
      <c r="C652" t="s">
        <v>380</v>
      </c>
      <c r="D652" t="s">
        <v>49</v>
      </c>
      <c r="E652" t="s">
        <v>22</v>
      </c>
      <c r="F652" t="s">
        <v>27</v>
      </c>
      <c r="G652" t="s">
        <v>45</v>
      </c>
      <c r="H652">
        <v>23940</v>
      </c>
      <c r="I652">
        <v>17555.3</v>
      </c>
      <c r="J652">
        <v>13659.29</v>
      </c>
      <c r="K652">
        <v>6384.7</v>
      </c>
      <c r="L652">
        <v>10280.709999999999</v>
      </c>
      <c r="M652" t="s">
        <v>39</v>
      </c>
      <c r="N652">
        <v>161</v>
      </c>
    </row>
    <row r="653" spans="1:14" x14ac:dyDescent="0.35">
      <c r="A653">
        <v>100652</v>
      </c>
      <c r="B653">
        <v>15324</v>
      </c>
      <c r="C653" t="s">
        <v>463</v>
      </c>
      <c r="D653" t="s">
        <v>15</v>
      </c>
      <c r="E653" t="s">
        <v>26</v>
      </c>
      <c r="F653" t="s">
        <v>17</v>
      </c>
      <c r="G653" t="s">
        <v>38</v>
      </c>
      <c r="H653">
        <v>23627</v>
      </c>
      <c r="I653">
        <v>18965.849999999999</v>
      </c>
      <c r="J653">
        <v>18965.849999999999</v>
      </c>
      <c r="K653">
        <v>4661.1499999999996</v>
      </c>
      <c r="L653">
        <v>4661.1499999999996</v>
      </c>
      <c r="M653" t="s">
        <v>19</v>
      </c>
      <c r="N653">
        <v>29</v>
      </c>
    </row>
    <row r="654" spans="1:14" x14ac:dyDescent="0.35">
      <c r="A654">
        <v>100653</v>
      </c>
      <c r="B654">
        <v>22405</v>
      </c>
      <c r="C654" t="s">
        <v>330</v>
      </c>
      <c r="D654" t="s">
        <v>30</v>
      </c>
      <c r="E654" t="s">
        <v>16</v>
      </c>
      <c r="F654" t="s">
        <v>44</v>
      </c>
      <c r="G654" t="s">
        <v>47</v>
      </c>
      <c r="H654">
        <v>7621</v>
      </c>
      <c r="I654">
        <v>5118.53</v>
      </c>
      <c r="J654">
        <v>0</v>
      </c>
      <c r="K654">
        <v>2502.4699999999998</v>
      </c>
      <c r="L654">
        <v>7621</v>
      </c>
      <c r="M654" t="s">
        <v>62</v>
      </c>
      <c r="N654">
        <v>53</v>
      </c>
    </row>
    <row r="655" spans="1:14" x14ac:dyDescent="0.35">
      <c r="A655">
        <v>100654</v>
      </c>
      <c r="B655">
        <v>79241</v>
      </c>
      <c r="C655" t="s">
        <v>464</v>
      </c>
      <c r="D655" t="s">
        <v>65</v>
      </c>
      <c r="E655" t="s">
        <v>37</v>
      </c>
      <c r="F655" t="s">
        <v>54</v>
      </c>
      <c r="G655" t="s">
        <v>72</v>
      </c>
      <c r="H655">
        <v>7084</v>
      </c>
      <c r="I655">
        <v>3925.32</v>
      </c>
      <c r="J655">
        <v>3925.32</v>
      </c>
      <c r="K655">
        <v>3158.68</v>
      </c>
      <c r="L655">
        <v>3158.68</v>
      </c>
      <c r="M655" t="s">
        <v>19</v>
      </c>
      <c r="N655">
        <v>175</v>
      </c>
    </row>
    <row r="656" spans="1:14" x14ac:dyDescent="0.35">
      <c r="A656">
        <v>100655</v>
      </c>
      <c r="B656">
        <v>99645</v>
      </c>
      <c r="C656" t="s">
        <v>450</v>
      </c>
      <c r="D656" t="s">
        <v>52</v>
      </c>
      <c r="E656" t="s">
        <v>56</v>
      </c>
      <c r="F656" t="s">
        <v>27</v>
      </c>
      <c r="G656" t="s">
        <v>18</v>
      </c>
      <c r="H656">
        <v>19072</v>
      </c>
      <c r="I656">
        <v>16531.05</v>
      </c>
      <c r="J656">
        <v>16531.05</v>
      </c>
      <c r="K656">
        <v>2540.9499999999998</v>
      </c>
      <c r="L656">
        <v>2540.9499999999998</v>
      </c>
      <c r="M656" t="s">
        <v>19</v>
      </c>
      <c r="N656">
        <v>1</v>
      </c>
    </row>
    <row r="657" spans="1:14" x14ac:dyDescent="0.35">
      <c r="A657">
        <v>100656</v>
      </c>
      <c r="B657">
        <v>43431</v>
      </c>
      <c r="C657" t="s">
        <v>465</v>
      </c>
      <c r="D657" t="s">
        <v>52</v>
      </c>
      <c r="E657" t="s">
        <v>43</v>
      </c>
      <c r="F657" t="s">
        <v>32</v>
      </c>
      <c r="G657" t="s">
        <v>38</v>
      </c>
      <c r="H657">
        <v>13880</v>
      </c>
      <c r="I657">
        <v>12955.62</v>
      </c>
      <c r="J657">
        <v>12955.62</v>
      </c>
      <c r="K657">
        <v>924.38</v>
      </c>
      <c r="L657">
        <v>924.38</v>
      </c>
      <c r="M657" t="s">
        <v>19</v>
      </c>
      <c r="N657">
        <v>147</v>
      </c>
    </row>
    <row r="658" spans="1:14" x14ac:dyDescent="0.35">
      <c r="A658">
        <v>100657</v>
      </c>
      <c r="B658">
        <v>81192</v>
      </c>
      <c r="C658" t="s">
        <v>279</v>
      </c>
      <c r="D658" t="s">
        <v>34</v>
      </c>
      <c r="E658" t="s">
        <v>43</v>
      </c>
      <c r="F658" t="s">
        <v>54</v>
      </c>
      <c r="G658" t="s">
        <v>38</v>
      </c>
      <c r="H658">
        <v>17877</v>
      </c>
      <c r="I658">
        <v>11822.7</v>
      </c>
      <c r="J658">
        <v>11822.7</v>
      </c>
      <c r="K658">
        <v>6054.3</v>
      </c>
      <c r="L658">
        <v>6054.3</v>
      </c>
      <c r="M658" t="s">
        <v>19</v>
      </c>
      <c r="N658">
        <v>103</v>
      </c>
    </row>
    <row r="659" spans="1:14" x14ac:dyDescent="0.35">
      <c r="A659">
        <v>100658</v>
      </c>
      <c r="B659">
        <v>38098</v>
      </c>
      <c r="C659" t="s">
        <v>466</v>
      </c>
      <c r="D659" t="s">
        <v>65</v>
      </c>
      <c r="E659" t="s">
        <v>22</v>
      </c>
      <c r="F659" t="s">
        <v>27</v>
      </c>
      <c r="G659" t="s">
        <v>24</v>
      </c>
      <c r="H659">
        <v>5936</v>
      </c>
      <c r="I659">
        <v>4136.0200000000004</v>
      </c>
      <c r="J659">
        <v>4136.0200000000004</v>
      </c>
      <c r="K659">
        <v>1799.98</v>
      </c>
      <c r="L659">
        <v>1799.98</v>
      </c>
      <c r="M659" t="s">
        <v>19</v>
      </c>
      <c r="N659">
        <v>157</v>
      </c>
    </row>
    <row r="660" spans="1:14" x14ac:dyDescent="0.35">
      <c r="A660">
        <v>100659</v>
      </c>
      <c r="B660">
        <v>56526</v>
      </c>
      <c r="C660" t="s">
        <v>467</v>
      </c>
      <c r="D660" t="s">
        <v>34</v>
      </c>
      <c r="E660" t="s">
        <v>16</v>
      </c>
      <c r="F660" t="s">
        <v>54</v>
      </c>
      <c r="G660" t="s">
        <v>72</v>
      </c>
      <c r="H660">
        <v>7116</v>
      </c>
      <c r="I660">
        <v>5029.28</v>
      </c>
      <c r="J660">
        <v>3150.32</v>
      </c>
      <c r="K660">
        <v>2086.7199999999998</v>
      </c>
      <c r="L660">
        <v>3965.68</v>
      </c>
      <c r="M660" t="s">
        <v>39</v>
      </c>
      <c r="N660">
        <v>167</v>
      </c>
    </row>
    <row r="661" spans="1:14" x14ac:dyDescent="0.35">
      <c r="A661">
        <v>100660</v>
      </c>
      <c r="B661">
        <v>13171</v>
      </c>
      <c r="C661" t="s">
        <v>468</v>
      </c>
      <c r="D661" t="s">
        <v>21</v>
      </c>
      <c r="E661" t="s">
        <v>22</v>
      </c>
      <c r="F661" t="s">
        <v>23</v>
      </c>
      <c r="G661" t="s">
        <v>38</v>
      </c>
      <c r="H661">
        <v>14399</v>
      </c>
      <c r="I661">
        <v>10161.719999999999</v>
      </c>
      <c r="J661">
        <v>10161.719999999999</v>
      </c>
      <c r="K661">
        <v>4237.28</v>
      </c>
      <c r="L661">
        <v>4237.28</v>
      </c>
      <c r="M661" t="s">
        <v>19</v>
      </c>
      <c r="N661">
        <v>8</v>
      </c>
    </row>
    <row r="662" spans="1:14" x14ac:dyDescent="0.35">
      <c r="A662">
        <v>100661</v>
      </c>
      <c r="B662">
        <v>30082</v>
      </c>
      <c r="C662" t="s">
        <v>469</v>
      </c>
      <c r="D662" t="s">
        <v>49</v>
      </c>
      <c r="E662" t="s">
        <v>22</v>
      </c>
      <c r="F662" t="s">
        <v>32</v>
      </c>
      <c r="G662" t="s">
        <v>47</v>
      </c>
      <c r="H662">
        <v>6670</v>
      </c>
      <c r="I662">
        <v>5484.89</v>
      </c>
      <c r="J662">
        <v>0</v>
      </c>
      <c r="K662">
        <v>1185.1099999999999</v>
      </c>
      <c r="L662">
        <v>6670</v>
      </c>
      <c r="M662" t="s">
        <v>62</v>
      </c>
      <c r="N662">
        <v>172</v>
      </c>
    </row>
    <row r="663" spans="1:14" x14ac:dyDescent="0.35">
      <c r="A663">
        <v>100662</v>
      </c>
      <c r="B663">
        <v>11581</v>
      </c>
      <c r="C663" t="s">
        <v>90</v>
      </c>
      <c r="D663" t="s">
        <v>21</v>
      </c>
      <c r="E663" t="s">
        <v>56</v>
      </c>
      <c r="F663" t="s">
        <v>23</v>
      </c>
      <c r="G663" t="s">
        <v>47</v>
      </c>
      <c r="H663">
        <v>15555</v>
      </c>
      <c r="I663">
        <v>12416.65</v>
      </c>
      <c r="J663">
        <v>12416.65</v>
      </c>
      <c r="K663">
        <v>3138.35</v>
      </c>
      <c r="L663">
        <v>3138.35</v>
      </c>
      <c r="M663" t="s">
        <v>19</v>
      </c>
      <c r="N663">
        <v>153</v>
      </c>
    </row>
    <row r="664" spans="1:14" x14ac:dyDescent="0.35">
      <c r="A664">
        <v>100663</v>
      </c>
      <c r="B664">
        <v>55976</v>
      </c>
      <c r="C664" t="s">
        <v>455</v>
      </c>
      <c r="D664" t="s">
        <v>15</v>
      </c>
      <c r="E664" t="s">
        <v>22</v>
      </c>
      <c r="F664" t="s">
        <v>44</v>
      </c>
      <c r="G664" t="s">
        <v>47</v>
      </c>
      <c r="H664">
        <v>5015</v>
      </c>
      <c r="I664">
        <v>3846.62</v>
      </c>
      <c r="J664">
        <v>1695.63</v>
      </c>
      <c r="K664">
        <v>1168.3800000000001</v>
      </c>
      <c r="L664">
        <v>3319.37</v>
      </c>
      <c r="M664" t="s">
        <v>39</v>
      </c>
      <c r="N664">
        <v>70</v>
      </c>
    </row>
    <row r="665" spans="1:14" x14ac:dyDescent="0.35">
      <c r="A665">
        <v>100664</v>
      </c>
      <c r="B665">
        <v>15820</v>
      </c>
      <c r="C665" t="s">
        <v>470</v>
      </c>
      <c r="D665" t="s">
        <v>49</v>
      </c>
      <c r="E665" t="s">
        <v>31</v>
      </c>
      <c r="F665" t="s">
        <v>23</v>
      </c>
      <c r="G665" t="s">
        <v>47</v>
      </c>
      <c r="H665">
        <v>21924</v>
      </c>
      <c r="I665">
        <v>17325.189999999999</v>
      </c>
      <c r="J665">
        <v>0</v>
      </c>
      <c r="K665">
        <v>4598.8100000000004</v>
      </c>
      <c r="L665">
        <v>21924</v>
      </c>
      <c r="M665" t="s">
        <v>62</v>
      </c>
      <c r="N665">
        <v>97</v>
      </c>
    </row>
    <row r="666" spans="1:14" x14ac:dyDescent="0.35">
      <c r="A666">
        <v>100665</v>
      </c>
      <c r="B666">
        <v>10076</v>
      </c>
      <c r="C666" t="s">
        <v>211</v>
      </c>
      <c r="D666" t="s">
        <v>21</v>
      </c>
      <c r="E666" t="s">
        <v>26</v>
      </c>
      <c r="F666" t="s">
        <v>32</v>
      </c>
      <c r="G666" t="s">
        <v>72</v>
      </c>
      <c r="H666">
        <v>9022</v>
      </c>
      <c r="I666">
        <v>5209.24</v>
      </c>
      <c r="J666">
        <v>1409.88</v>
      </c>
      <c r="K666">
        <v>3812.76</v>
      </c>
      <c r="L666">
        <v>7612.12</v>
      </c>
      <c r="M666" t="s">
        <v>50</v>
      </c>
      <c r="N666">
        <v>157</v>
      </c>
    </row>
    <row r="667" spans="1:14" x14ac:dyDescent="0.35">
      <c r="A667">
        <v>100666</v>
      </c>
      <c r="B667">
        <v>99607</v>
      </c>
      <c r="C667" t="s">
        <v>444</v>
      </c>
      <c r="D667" t="s">
        <v>65</v>
      </c>
      <c r="E667" t="s">
        <v>37</v>
      </c>
      <c r="F667" t="s">
        <v>54</v>
      </c>
      <c r="G667" t="s">
        <v>18</v>
      </c>
      <c r="H667">
        <v>7702</v>
      </c>
      <c r="I667">
        <v>6195.57</v>
      </c>
      <c r="J667">
        <v>6195.57</v>
      </c>
      <c r="K667">
        <v>1506.43</v>
      </c>
      <c r="L667">
        <v>1506.43</v>
      </c>
      <c r="M667" t="s">
        <v>19</v>
      </c>
      <c r="N667">
        <v>66</v>
      </c>
    </row>
    <row r="668" spans="1:14" x14ac:dyDescent="0.35">
      <c r="A668">
        <v>100667</v>
      </c>
      <c r="B668">
        <v>38760</v>
      </c>
      <c r="C668" t="s">
        <v>471</v>
      </c>
      <c r="D668" t="s">
        <v>49</v>
      </c>
      <c r="E668" t="s">
        <v>22</v>
      </c>
      <c r="F668" t="s">
        <v>27</v>
      </c>
      <c r="G668" t="s">
        <v>45</v>
      </c>
      <c r="H668">
        <v>2761</v>
      </c>
      <c r="I668">
        <v>2156.77</v>
      </c>
      <c r="J668">
        <v>2156.77</v>
      </c>
      <c r="K668">
        <v>604.23</v>
      </c>
      <c r="L668">
        <v>604.23</v>
      </c>
      <c r="M668" t="s">
        <v>19</v>
      </c>
      <c r="N668">
        <v>7</v>
      </c>
    </row>
    <row r="669" spans="1:14" x14ac:dyDescent="0.35">
      <c r="A669">
        <v>100668</v>
      </c>
      <c r="B669">
        <v>61768</v>
      </c>
      <c r="C669" t="s">
        <v>472</v>
      </c>
      <c r="D669" t="s">
        <v>30</v>
      </c>
      <c r="E669" t="s">
        <v>56</v>
      </c>
      <c r="F669" t="s">
        <v>61</v>
      </c>
      <c r="G669" t="s">
        <v>38</v>
      </c>
      <c r="H669">
        <v>24036</v>
      </c>
      <c r="I669">
        <v>17474.16</v>
      </c>
      <c r="J669">
        <v>17474.16</v>
      </c>
      <c r="K669">
        <v>6561.84</v>
      </c>
      <c r="L669">
        <v>6561.84</v>
      </c>
      <c r="M669" t="s">
        <v>19</v>
      </c>
      <c r="N669">
        <v>23</v>
      </c>
    </row>
    <row r="670" spans="1:14" x14ac:dyDescent="0.35">
      <c r="A670">
        <v>100669</v>
      </c>
      <c r="B670">
        <v>63572</v>
      </c>
      <c r="C670" t="s">
        <v>473</v>
      </c>
      <c r="D670" t="s">
        <v>21</v>
      </c>
      <c r="E670" t="s">
        <v>22</v>
      </c>
      <c r="F670" t="s">
        <v>61</v>
      </c>
      <c r="G670" t="s">
        <v>38</v>
      </c>
      <c r="H670">
        <v>19512</v>
      </c>
      <c r="I670">
        <v>15616.64</v>
      </c>
      <c r="J670">
        <v>15616.64</v>
      </c>
      <c r="K670">
        <v>3895.36</v>
      </c>
      <c r="L670">
        <v>3895.36</v>
      </c>
      <c r="M670" t="s">
        <v>19</v>
      </c>
      <c r="N670">
        <v>7</v>
      </c>
    </row>
    <row r="671" spans="1:14" x14ac:dyDescent="0.35">
      <c r="A671">
        <v>100670</v>
      </c>
      <c r="B671">
        <v>15866</v>
      </c>
      <c r="C671" t="s">
        <v>474</v>
      </c>
      <c r="D671" t="s">
        <v>49</v>
      </c>
      <c r="E671" t="s">
        <v>37</v>
      </c>
      <c r="F671" t="s">
        <v>35</v>
      </c>
      <c r="G671" t="s">
        <v>18</v>
      </c>
      <c r="H671">
        <v>4778</v>
      </c>
      <c r="I671">
        <v>4084.75</v>
      </c>
      <c r="J671">
        <v>2131.02</v>
      </c>
      <c r="K671">
        <v>693.25</v>
      </c>
      <c r="L671">
        <v>2646.98</v>
      </c>
      <c r="M671" t="s">
        <v>39</v>
      </c>
      <c r="N671">
        <v>96</v>
      </c>
    </row>
    <row r="672" spans="1:14" x14ac:dyDescent="0.35">
      <c r="A672">
        <v>100671</v>
      </c>
      <c r="B672">
        <v>90316</v>
      </c>
      <c r="C672" t="s">
        <v>204</v>
      </c>
      <c r="D672" t="s">
        <v>34</v>
      </c>
      <c r="E672" t="s">
        <v>22</v>
      </c>
      <c r="F672" t="s">
        <v>17</v>
      </c>
      <c r="G672" t="s">
        <v>18</v>
      </c>
      <c r="H672">
        <v>7832</v>
      </c>
      <c r="I672">
        <v>4658.8900000000003</v>
      </c>
      <c r="J672">
        <v>4658.8900000000003</v>
      </c>
      <c r="K672">
        <v>3173.11</v>
      </c>
      <c r="L672">
        <v>3173.11</v>
      </c>
      <c r="M672" t="s">
        <v>19</v>
      </c>
      <c r="N672">
        <v>1</v>
      </c>
    </row>
    <row r="673" spans="1:14" x14ac:dyDescent="0.35">
      <c r="A673">
        <v>100672</v>
      </c>
      <c r="B673">
        <v>71698</v>
      </c>
      <c r="C673" t="s">
        <v>475</v>
      </c>
      <c r="D673" t="s">
        <v>21</v>
      </c>
      <c r="E673" t="s">
        <v>16</v>
      </c>
      <c r="F673" t="s">
        <v>54</v>
      </c>
      <c r="G673" t="s">
        <v>38</v>
      </c>
      <c r="H673">
        <v>18083</v>
      </c>
      <c r="I673">
        <v>10999.81</v>
      </c>
      <c r="J673">
        <v>7570.64</v>
      </c>
      <c r="K673">
        <v>7083.19</v>
      </c>
      <c r="L673">
        <v>10512.36</v>
      </c>
      <c r="M673" t="s">
        <v>39</v>
      </c>
      <c r="N673">
        <v>43</v>
      </c>
    </row>
    <row r="674" spans="1:14" x14ac:dyDescent="0.35">
      <c r="A674">
        <v>100673</v>
      </c>
      <c r="B674">
        <v>29392</v>
      </c>
      <c r="C674" t="s">
        <v>476</v>
      </c>
      <c r="D674" t="s">
        <v>65</v>
      </c>
      <c r="E674" t="s">
        <v>43</v>
      </c>
      <c r="F674" t="s">
        <v>61</v>
      </c>
      <c r="G674" t="s">
        <v>24</v>
      </c>
      <c r="H674">
        <v>10760</v>
      </c>
      <c r="I674">
        <v>10167.44</v>
      </c>
      <c r="J674">
        <v>10167.44</v>
      </c>
      <c r="K674">
        <v>592.55999999999995</v>
      </c>
      <c r="L674">
        <v>592.55999999999995</v>
      </c>
      <c r="M674" t="s">
        <v>19</v>
      </c>
      <c r="N674">
        <v>170</v>
      </c>
    </row>
    <row r="675" spans="1:14" x14ac:dyDescent="0.35">
      <c r="A675">
        <v>100674</v>
      </c>
      <c r="B675">
        <v>14251</v>
      </c>
      <c r="C675" t="s">
        <v>321</v>
      </c>
      <c r="D675" t="s">
        <v>21</v>
      </c>
      <c r="E675" t="s">
        <v>22</v>
      </c>
      <c r="F675" t="s">
        <v>23</v>
      </c>
      <c r="G675" t="s">
        <v>24</v>
      </c>
      <c r="H675">
        <v>3324</v>
      </c>
      <c r="I675">
        <v>1845.78</v>
      </c>
      <c r="J675">
        <v>1845.78</v>
      </c>
      <c r="K675">
        <v>1478.22</v>
      </c>
      <c r="L675">
        <v>1478.22</v>
      </c>
      <c r="M675" t="s">
        <v>19</v>
      </c>
      <c r="N675">
        <v>30</v>
      </c>
    </row>
    <row r="676" spans="1:14" x14ac:dyDescent="0.35">
      <c r="A676">
        <v>100675</v>
      </c>
      <c r="B676">
        <v>50261</v>
      </c>
      <c r="C676" t="s">
        <v>216</v>
      </c>
      <c r="D676" t="s">
        <v>21</v>
      </c>
      <c r="E676" t="s">
        <v>31</v>
      </c>
      <c r="F676" t="s">
        <v>23</v>
      </c>
      <c r="G676" t="s">
        <v>72</v>
      </c>
      <c r="H676">
        <v>13316</v>
      </c>
      <c r="I676">
        <v>12040.06</v>
      </c>
      <c r="J676">
        <v>12040.06</v>
      </c>
      <c r="K676">
        <v>1275.94</v>
      </c>
      <c r="L676">
        <v>1275.94</v>
      </c>
      <c r="M676" t="s">
        <v>19</v>
      </c>
      <c r="N676">
        <v>135</v>
      </c>
    </row>
    <row r="677" spans="1:14" x14ac:dyDescent="0.35">
      <c r="A677">
        <v>100676</v>
      </c>
      <c r="B677">
        <v>80045</v>
      </c>
      <c r="C677" t="s">
        <v>42</v>
      </c>
      <c r="D677" t="s">
        <v>21</v>
      </c>
      <c r="E677" t="s">
        <v>26</v>
      </c>
      <c r="F677" t="s">
        <v>32</v>
      </c>
      <c r="G677" t="s">
        <v>45</v>
      </c>
      <c r="H677">
        <v>7290</v>
      </c>
      <c r="I677">
        <v>4656.3500000000004</v>
      </c>
      <c r="J677">
        <v>4656.3500000000004</v>
      </c>
      <c r="K677">
        <v>2633.65</v>
      </c>
      <c r="L677">
        <v>2633.65</v>
      </c>
      <c r="M677" t="s">
        <v>19</v>
      </c>
      <c r="N677">
        <v>57</v>
      </c>
    </row>
    <row r="678" spans="1:14" x14ac:dyDescent="0.35">
      <c r="A678">
        <v>100677</v>
      </c>
      <c r="B678">
        <v>88093</v>
      </c>
      <c r="C678" t="s">
        <v>477</v>
      </c>
      <c r="D678" t="s">
        <v>34</v>
      </c>
      <c r="E678" t="s">
        <v>56</v>
      </c>
      <c r="F678" t="s">
        <v>35</v>
      </c>
      <c r="G678" t="s">
        <v>24</v>
      </c>
      <c r="H678">
        <v>3186</v>
      </c>
      <c r="I678">
        <v>2457.9</v>
      </c>
      <c r="J678">
        <v>0</v>
      </c>
      <c r="K678">
        <v>728.1</v>
      </c>
      <c r="L678">
        <v>3186</v>
      </c>
      <c r="M678" t="s">
        <v>62</v>
      </c>
      <c r="N678">
        <v>4</v>
      </c>
    </row>
    <row r="679" spans="1:14" x14ac:dyDescent="0.35">
      <c r="A679">
        <v>100678</v>
      </c>
      <c r="B679">
        <v>40722</v>
      </c>
      <c r="C679" t="s">
        <v>358</v>
      </c>
      <c r="D679" t="s">
        <v>34</v>
      </c>
      <c r="E679" t="s">
        <v>22</v>
      </c>
      <c r="F679" t="s">
        <v>61</v>
      </c>
      <c r="G679" t="s">
        <v>45</v>
      </c>
      <c r="H679">
        <v>18672</v>
      </c>
      <c r="I679">
        <v>15493.68</v>
      </c>
      <c r="J679">
        <v>15493.68</v>
      </c>
      <c r="K679">
        <v>3178.32</v>
      </c>
      <c r="L679">
        <v>3178.32</v>
      </c>
      <c r="M679" t="s">
        <v>19</v>
      </c>
      <c r="N679">
        <v>47</v>
      </c>
    </row>
    <row r="680" spans="1:14" x14ac:dyDescent="0.35">
      <c r="A680">
        <v>100679</v>
      </c>
      <c r="B680">
        <v>63534</v>
      </c>
      <c r="C680" t="s">
        <v>409</v>
      </c>
      <c r="D680" t="s">
        <v>49</v>
      </c>
      <c r="E680" t="s">
        <v>16</v>
      </c>
      <c r="F680" t="s">
        <v>32</v>
      </c>
      <c r="G680" t="s">
        <v>72</v>
      </c>
      <c r="H680">
        <v>16385</v>
      </c>
      <c r="I680">
        <v>11258.48</v>
      </c>
      <c r="J680">
        <v>11258.48</v>
      </c>
      <c r="K680">
        <v>5126.5200000000004</v>
      </c>
      <c r="L680">
        <v>5126.5200000000004</v>
      </c>
      <c r="M680" t="s">
        <v>19</v>
      </c>
      <c r="N680">
        <v>88</v>
      </c>
    </row>
    <row r="681" spans="1:14" x14ac:dyDescent="0.35">
      <c r="A681">
        <v>100680</v>
      </c>
      <c r="B681">
        <v>49359</v>
      </c>
      <c r="C681" t="s">
        <v>297</v>
      </c>
      <c r="D681" t="s">
        <v>52</v>
      </c>
      <c r="E681" t="s">
        <v>31</v>
      </c>
      <c r="F681" t="s">
        <v>27</v>
      </c>
      <c r="G681" t="s">
        <v>28</v>
      </c>
      <c r="H681">
        <v>19486</v>
      </c>
      <c r="I681">
        <v>18035.55</v>
      </c>
      <c r="J681">
        <v>18035.55</v>
      </c>
      <c r="K681">
        <v>1450.45</v>
      </c>
      <c r="L681">
        <v>1450.45</v>
      </c>
      <c r="M681" t="s">
        <v>19</v>
      </c>
      <c r="N681">
        <v>77</v>
      </c>
    </row>
    <row r="682" spans="1:14" x14ac:dyDescent="0.35">
      <c r="A682">
        <v>100681</v>
      </c>
      <c r="B682">
        <v>49691</v>
      </c>
      <c r="C682" t="s">
        <v>478</v>
      </c>
      <c r="D682" t="s">
        <v>21</v>
      </c>
      <c r="E682" t="s">
        <v>37</v>
      </c>
      <c r="F682" t="s">
        <v>54</v>
      </c>
      <c r="G682" t="s">
        <v>38</v>
      </c>
      <c r="H682">
        <v>4125</v>
      </c>
      <c r="I682">
        <v>2982.16</v>
      </c>
      <c r="J682">
        <v>736.88</v>
      </c>
      <c r="K682">
        <v>1142.8399999999999</v>
      </c>
      <c r="L682">
        <v>3388.12</v>
      </c>
      <c r="M682" t="s">
        <v>50</v>
      </c>
      <c r="N682">
        <v>148</v>
      </c>
    </row>
    <row r="683" spans="1:14" x14ac:dyDescent="0.35">
      <c r="A683">
        <v>100682</v>
      </c>
      <c r="B683">
        <v>89329</v>
      </c>
      <c r="C683" t="s">
        <v>129</v>
      </c>
      <c r="D683" t="s">
        <v>49</v>
      </c>
      <c r="E683" t="s">
        <v>41</v>
      </c>
      <c r="F683" t="s">
        <v>44</v>
      </c>
      <c r="G683" t="s">
        <v>72</v>
      </c>
      <c r="H683">
        <v>4864</v>
      </c>
      <c r="I683">
        <v>2842.95</v>
      </c>
      <c r="J683">
        <v>2842.95</v>
      </c>
      <c r="K683">
        <v>2021.05</v>
      </c>
      <c r="L683">
        <v>2021.05</v>
      </c>
      <c r="M683" t="s">
        <v>19</v>
      </c>
      <c r="N683">
        <v>80</v>
      </c>
    </row>
    <row r="684" spans="1:14" x14ac:dyDescent="0.35">
      <c r="A684">
        <v>100683</v>
      </c>
      <c r="B684">
        <v>28001</v>
      </c>
      <c r="C684" t="s">
        <v>71</v>
      </c>
      <c r="D684" t="s">
        <v>34</v>
      </c>
      <c r="E684" t="s">
        <v>16</v>
      </c>
      <c r="F684" t="s">
        <v>61</v>
      </c>
      <c r="G684" t="s">
        <v>28</v>
      </c>
      <c r="H684">
        <v>20635</v>
      </c>
      <c r="I684">
        <v>18703.84</v>
      </c>
      <c r="J684">
        <v>18703.84</v>
      </c>
      <c r="K684">
        <v>1931.16</v>
      </c>
      <c r="L684">
        <v>1931.16</v>
      </c>
      <c r="M684" t="s">
        <v>19</v>
      </c>
      <c r="N684">
        <v>132</v>
      </c>
    </row>
    <row r="685" spans="1:14" x14ac:dyDescent="0.35">
      <c r="A685">
        <v>100684</v>
      </c>
      <c r="B685">
        <v>58408</v>
      </c>
      <c r="C685" t="s">
        <v>479</v>
      </c>
      <c r="D685" t="s">
        <v>34</v>
      </c>
      <c r="E685" t="s">
        <v>26</v>
      </c>
      <c r="F685" t="s">
        <v>44</v>
      </c>
      <c r="G685" t="s">
        <v>72</v>
      </c>
      <c r="H685">
        <v>21201</v>
      </c>
      <c r="I685">
        <v>19692.7</v>
      </c>
      <c r="J685">
        <v>19692.7</v>
      </c>
      <c r="K685">
        <v>1508.3</v>
      </c>
      <c r="L685">
        <v>1508.3</v>
      </c>
      <c r="M685" t="s">
        <v>19</v>
      </c>
      <c r="N685">
        <v>135</v>
      </c>
    </row>
    <row r="686" spans="1:14" x14ac:dyDescent="0.35">
      <c r="A686">
        <v>100685</v>
      </c>
      <c r="B686">
        <v>41176</v>
      </c>
      <c r="C686" t="s">
        <v>474</v>
      </c>
      <c r="D686" t="s">
        <v>65</v>
      </c>
      <c r="E686" t="s">
        <v>43</v>
      </c>
      <c r="F686" t="s">
        <v>35</v>
      </c>
      <c r="G686" t="s">
        <v>28</v>
      </c>
      <c r="H686">
        <v>19988</v>
      </c>
      <c r="I686">
        <v>17662.099999999999</v>
      </c>
      <c r="J686">
        <v>17662.099999999999</v>
      </c>
      <c r="K686">
        <v>2325.9</v>
      </c>
      <c r="L686">
        <v>2325.9</v>
      </c>
      <c r="M686" t="s">
        <v>19</v>
      </c>
      <c r="N686">
        <v>115</v>
      </c>
    </row>
    <row r="687" spans="1:14" x14ac:dyDescent="0.35">
      <c r="A687">
        <v>100686</v>
      </c>
      <c r="B687">
        <v>83848</v>
      </c>
      <c r="C687" t="s">
        <v>480</v>
      </c>
      <c r="D687" t="s">
        <v>30</v>
      </c>
      <c r="E687" t="s">
        <v>31</v>
      </c>
      <c r="F687" t="s">
        <v>32</v>
      </c>
      <c r="G687" t="s">
        <v>28</v>
      </c>
      <c r="H687">
        <v>18818</v>
      </c>
      <c r="I687">
        <v>17275.07</v>
      </c>
      <c r="J687">
        <v>7192.19</v>
      </c>
      <c r="K687">
        <v>1542.93</v>
      </c>
      <c r="L687">
        <v>11625.81</v>
      </c>
      <c r="M687" t="s">
        <v>39</v>
      </c>
      <c r="N687">
        <v>29</v>
      </c>
    </row>
    <row r="688" spans="1:14" x14ac:dyDescent="0.35">
      <c r="A688">
        <v>100687</v>
      </c>
      <c r="B688">
        <v>49027</v>
      </c>
      <c r="C688" t="s">
        <v>64</v>
      </c>
      <c r="D688" t="s">
        <v>65</v>
      </c>
      <c r="E688" t="s">
        <v>22</v>
      </c>
      <c r="F688" t="s">
        <v>44</v>
      </c>
      <c r="G688" t="s">
        <v>72</v>
      </c>
      <c r="H688">
        <v>8878</v>
      </c>
      <c r="I688">
        <v>7645.21</v>
      </c>
      <c r="J688">
        <v>7645.21</v>
      </c>
      <c r="K688">
        <v>1232.79</v>
      </c>
      <c r="L688">
        <v>1232.79</v>
      </c>
      <c r="M688" t="s">
        <v>19</v>
      </c>
      <c r="N688">
        <v>76</v>
      </c>
    </row>
    <row r="689" spans="1:14" x14ac:dyDescent="0.35">
      <c r="A689">
        <v>100688</v>
      </c>
      <c r="B689">
        <v>53863</v>
      </c>
      <c r="C689" t="s">
        <v>481</v>
      </c>
      <c r="D689" t="s">
        <v>30</v>
      </c>
      <c r="E689" t="s">
        <v>41</v>
      </c>
      <c r="F689" t="s">
        <v>32</v>
      </c>
      <c r="G689" t="s">
        <v>72</v>
      </c>
      <c r="H689">
        <v>1530</v>
      </c>
      <c r="I689">
        <v>1308.97</v>
      </c>
      <c r="J689">
        <v>1093.48</v>
      </c>
      <c r="K689">
        <v>221.03</v>
      </c>
      <c r="L689">
        <v>436.52</v>
      </c>
      <c r="M689" t="s">
        <v>39</v>
      </c>
      <c r="N689">
        <v>163</v>
      </c>
    </row>
    <row r="690" spans="1:14" x14ac:dyDescent="0.35">
      <c r="A690">
        <v>100689</v>
      </c>
      <c r="B690">
        <v>16226</v>
      </c>
      <c r="C690" t="s">
        <v>482</v>
      </c>
      <c r="D690" t="s">
        <v>30</v>
      </c>
      <c r="E690" t="s">
        <v>37</v>
      </c>
      <c r="F690" t="s">
        <v>27</v>
      </c>
      <c r="G690" t="s">
        <v>72</v>
      </c>
      <c r="H690">
        <v>23932</v>
      </c>
      <c r="I690">
        <v>21248.55</v>
      </c>
      <c r="J690">
        <v>0</v>
      </c>
      <c r="K690">
        <v>2683.45</v>
      </c>
      <c r="L690">
        <v>23932</v>
      </c>
      <c r="M690" t="s">
        <v>62</v>
      </c>
      <c r="N690">
        <v>111</v>
      </c>
    </row>
    <row r="691" spans="1:14" x14ac:dyDescent="0.35">
      <c r="A691">
        <v>100690</v>
      </c>
      <c r="B691">
        <v>10664</v>
      </c>
      <c r="C691" t="s">
        <v>463</v>
      </c>
      <c r="D691" t="s">
        <v>65</v>
      </c>
      <c r="E691" t="s">
        <v>56</v>
      </c>
      <c r="F691" t="s">
        <v>61</v>
      </c>
      <c r="G691" t="s">
        <v>47</v>
      </c>
      <c r="H691">
        <v>14244</v>
      </c>
      <c r="I691">
        <v>8315.65</v>
      </c>
      <c r="J691">
        <v>4574.8999999999996</v>
      </c>
      <c r="K691">
        <v>5928.35</v>
      </c>
      <c r="L691">
        <v>9669.1</v>
      </c>
      <c r="M691" t="s">
        <v>39</v>
      </c>
      <c r="N691">
        <v>77</v>
      </c>
    </row>
    <row r="692" spans="1:14" x14ac:dyDescent="0.35">
      <c r="A692">
        <v>100691</v>
      </c>
      <c r="B692">
        <v>99149</v>
      </c>
      <c r="C692" t="s">
        <v>483</v>
      </c>
      <c r="D692" t="s">
        <v>34</v>
      </c>
      <c r="E692" t="s">
        <v>37</v>
      </c>
      <c r="F692" t="s">
        <v>61</v>
      </c>
      <c r="G692" t="s">
        <v>47</v>
      </c>
      <c r="H692">
        <v>15717</v>
      </c>
      <c r="I692">
        <v>9542.16</v>
      </c>
      <c r="J692">
        <v>7861.9</v>
      </c>
      <c r="K692">
        <v>6174.84</v>
      </c>
      <c r="L692">
        <v>7855.1</v>
      </c>
      <c r="M692" t="s">
        <v>39</v>
      </c>
      <c r="N692">
        <v>146</v>
      </c>
    </row>
    <row r="693" spans="1:14" x14ac:dyDescent="0.35">
      <c r="A693">
        <v>100692</v>
      </c>
      <c r="B693">
        <v>88096</v>
      </c>
      <c r="C693" t="s">
        <v>95</v>
      </c>
      <c r="D693" t="s">
        <v>15</v>
      </c>
      <c r="E693" t="s">
        <v>56</v>
      </c>
      <c r="F693" t="s">
        <v>17</v>
      </c>
      <c r="G693" t="s">
        <v>28</v>
      </c>
      <c r="H693">
        <v>12647</v>
      </c>
      <c r="I693">
        <v>8882.07</v>
      </c>
      <c r="J693">
        <v>8882.07</v>
      </c>
      <c r="K693">
        <v>3764.93</v>
      </c>
      <c r="L693">
        <v>3764.93</v>
      </c>
      <c r="M693" t="s">
        <v>19</v>
      </c>
      <c r="N693">
        <v>148</v>
      </c>
    </row>
    <row r="694" spans="1:14" x14ac:dyDescent="0.35">
      <c r="A694">
        <v>100693</v>
      </c>
      <c r="B694">
        <v>19518</v>
      </c>
      <c r="C694" t="s">
        <v>332</v>
      </c>
      <c r="D694" t="s">
        <v>49</v>
      </c>
      <c r="E694" t="s">
        <v>31</v>
      </c>
      <c r="F694" t="s">
        <v>27</v>
      </c>
      <c r="G694" t="s">
        <v>72</v>
      </c>
      <c r="H694">
        <v>14310</v>
      </c>
      <c r="I694">
        <v>10411.31</v>
      </c>
      <c r="J694">
        <v>10411.31</v>
      </c>
      <c r="K694">
        <v>3898.69</v>
      </c>
      <c r="L694">
        <v>3898.69</v>
      </c>
      <c r="M694" t="s">
        <v>19</v>
      </c>
      <c r="N694">
        <v>82</v>
      </c>
    </row>
    <row r="695" spans="1:14" x14ac:dyDescent="0.35">
      <c r="A695">
        <v>100694</v>
      </c>
      <c r="B695">
        <v>70944</v>
      </c>
      <c r="C695" t="s">
        <v>387</v>
      </c>
      <c r="D695" t="s">
        <v>34</v>
      </c>
      <c r="E695" t="s">
        <v>26</v>
      </c>
      <c r="F695" t="s">
        <v>27</v>
      </c>
      <c r="G695" t="s">
        <v>18</v>
      </c>
      <c r="H695">
        <v>11720</v>
      </c>
      <c r="I695">
        <v>7788.39</v>
      </c>
      <c r="J695">
        <v>0</v>
      </c>
      <c r="K695">
        <v>3931.61</v>
      </c>
      <c r="L695">
        <v>11720</v>
      </c>
      <c r="M695" t="s">
        <v>62</v>
      </c>
      <c r="N695">
        <v>70</v>
      </c>
    </row>
    <row r="696" spans="1:14" x14ac:dyDescent="0.35">
      <c r="A696">
        <v>100695</v>
      </c>
      <c r="B696">
        <v>96281</v>
      </c>
      <c r="C696" t="s">
        <v>462</v>
      </c>
      <c r="D696" t="s">
        <v>52</v>
      </c>
      <c r="E696" t="s">
        <v>37</v>
      </c>
      <c r="F696" t="s">
        <v>35</v>
      </c>
      <c r="G696" t="s">
        <v>38</v>
      </c>
      <c r="H696">
        <v>6747</v>
      </c>
      <c r="I696">
        <v>4150.4799999999996</v>
      </c>
      <c r="J696">
        <v>4150.4799999999996</v>
      </c>
      <c r="K696">
        <v>2596.52</v>
      </c>
      <c r="L696">
        <v>2596.52</v>
      </c>
      <c r="M696" t="s">
        <v>19</v>
      </c>
      <c r="N696">
        <v>27</v>
      </c>
    </row>
    <row r="697" spans="1:14" x14ac:dyDescent="0.35">
      <c r="A697">
        <v>100696</v>
      </c>
      <c r="B697">
        <v>91959</v>
      </c>
      <c r="C697" t="s">
        <v>484</v>
      </c>
      <c r="D697" t="s">
        <v>65</v>
      </c>
      <c r="E697" t="s">
        <v>26</v>
      </c>
      <c r="F697" t="s">
        <v>32</v>
      </c>
      <c r="G697" t="s">
        <v>38</v>
      </c>
      <c r="H697">
        <v>16506</v>
      </c>
      <c r="I697">
        <v>15669.68</v>
      </c>
      <c r="J697">
        <v>0</v>
      </c>
      <c r="K697">
        <v>836.32</v>
      </c>
      <c r="L697">
        <v>16506</v>
      </c>
      <c r="M697" t="s">
        <v>62</v>
      </c>
      <c r="N697">
        <v>127</v>
      </c>
    </row>
    <row r="698" spans="1:14" x14ac:dyDescent="0.35">
      <c r="A698">
        <v>100697</v>
      </c>
      <c r="B698">
        <v>96665</v>
      </c>
      <c r="C698" t="s">
        <v>485</v>
      </c>
      <c r="D698" t="s">
        <v>30</v>
      </c>
      <c r="E698" t="s">
        <v>43</v>
      </c>
      <c r="F698" t="s">
        <v>27</v>
      </c>
      <c r="G698" t="s">
        <v>38</v>
      </c>
      <c r="H698">
        <v>5333</v>
      </c>
      <c r="I698">
        <v>4488.9399999999996</v>
      </c>
      <c r="J698">
        <v>4488.9399999999996</v>
      </c>
      <c r="K698">
        <v>844.06</v>
      </c>
      <c r="L698">
        <v>844.06</v>
      </c>
      <c r="M698" t="s">
        <v>19</v>
      </c>
      <c r="N698">
        <v>88</v>
      </c>
    </row>
    <row r="699" spans="1:14" x14ac:dyDescent="0.35">
      <c r="A699">
        <v>100698</v>
      </c>
      <c r="B699">
        <v>53591</v>
      </c>
      <c r="C699" t="s">
        <v>58</v>
      </c>
      <c r="D699" t="s">
        <v>15</v>
      </c>
      <c r="E699" t="s">
        <v>37</v>
      </c>
      <c r="F699" t="s">
        <v>35</v>
      </c>
      <c r="G699" t="s">
        <v>72</v>
      </c>
      <c r="H699">
        <v>4658</v>
      </c>
      <c r="I699">
        <v>3332.39</v>
      </c>
      <c r="J699">
        <v>3332.39</v>
      </c>
      <c r="K699">
        <v>1325.61</v>
      </c>
      <c r="L699">
        <v>1325.61</v>
      </c>
      <c r="M699" t="s">
        <v>19</v>
      </c>
      <c r="N699">
        <v>176</v>
      </c>
    </row>
    <row r="700" spans="1:14" x14ac:dyDescent="0.35">
      <c r="A700">
        <v>100699</v>
      </c>
      <c r="B700">
        <v>45849</v>
      </c>
      <c r="C700" t="s">
        <v>29</v>
      </c>
      <c r="D700" t="s">
        <v>15</v>
      </c>
      <c r="E700" t="s">
        <v>31</v>
      </c>
      <c r="F700" t="s">
        <v>27</v>
      </c>
      <c r="G700" t="s">
        <v>38</v>
      </c>
      <c r="H700">
        <v>4050</v>
      </c>
      <c r="I700">
        <v>2862.21</v>
      </c>
      <c r="J700">
        <v>2862.21</v>
      </c>
      <c r="K700">
        <v>1187.79</v>
      </c>
      <c r="L700">
        <v>1187.79</v>
      </c>
      <c r="M700" t="s">
        <v>19</v>
      </c>
      <c r="N700">
        <v>135</v>
      </c>
    </row>
    <row r="701" spans="1:14" x14ac:dyDescent="0.35">
      <c r="A701">
        <v>100700</v>
      </c>
      <c r="B701">
        <v>84053</v>
      </c>
      <c r="C701" t="s">
        <v>167</v>
      </c>
      <c r="D701" t="s">
        <v>15</v>
      </c>
      <c r="E701" t="s">
        <v>22</v>
      </c>
      <c r="F701" t="s">
        <v>35</v>
      </c>
      <c r="G701" t="s">
        <v>45</v>
      </c>
      <c r="H701">
        <v>17080</v>
      </c>
      <c r="I701">
        <v>12898.72</v>
      </c>
      <c r="J701">
        <v>12898.72</v>
      </c>
      <c r="K701">
        <v>4181.28</v>
      </c>
      <c r="L701">
        <v>4181.28</v>
      </c>
      <c r="M701" t="s">
        <v>19</v>
      </c>
      <c r="N701">
        <v>104</v>
      </c>
    </row>
    <row r="702" spans="1:14" x14ac:dyDescent="0.35">
      <c r="A702">
        <v>100701</v>
      </c>
      <c r="B702">
        <v>33892</v>
      </c>
      <c r="C702" t="s">
        <v>258</v>
      </c>
      <c r="D702" t="s">
        <v>52</v>
      </c>
      <c r="E702" t="s">
        <v>37</v>
      </c>
      <c r="F702" t="s">
        <v>35</v>
      </c>
      <c r="G702" t="s">
        <v>47</v>
      </c>
      <c r="H702">
        <v>15671</v>
      </c>
      <c r="I702">
        <v>10273.43</v>
      </c>
      <c r="J702">
        <v>2365.3200000000002</v>
      </c>
      <c r="K702">
        <v>5397.57</v>
      </c>
      <c r="L702">
        <v>13305.68</v>
      </c>
      <c r="M702" t="s">
        <v>50</v>
      </c>
      <c r="N702">
        <v>20</v>
      </c>
    </row>
    <row r="703" spans="1:14" x14ac:dyDescent="0.35">
      <c r="A703">
        <v>100702</v>
      </c>
      <c r="B703">
        <v>84249</v>
      </c>
      <c r="C703" t="s">
        <v>458</v>
      </c>
      <c r="D703" t="s">
        <v>49</v>
      </c>
      <c r="E703" t="s">
        <v>16</v>
      </c>
      <c r="F703" t="s">
        <v>35</v>
      </c>
      <c r="G703" t="s">
        <v>24</v>
      </c>
      <c r="H703">
        <v>8574</v>
      </c>
      <c r="I703">
        <v>6897.06</v>
      </c>
      <c r="J703">
        <v>6897.06</v>
      </c>
      <c r="K703">
        <v>1676.94</v>
      </c>
      <c r="L703">
        <v>1676.94</v>
      </c>
      <c r="M703" t="s">
        <v>19</v>
      </c>
      <c r="N703">
        <v>81</v>
      </c>
    </row>
    <row r="704" spans="1:14" x14ac:dyDescent="0.35">
      <c r="A704">
        <v>100703</v>
      </c>
      <c r="B704">
        <v>77432</v>
      </c>
      <c r="C704" t="s">
        <v>276</v>
      </c>
      <c r="D704" t="s">
        <v>15</v>
      </c>
      <c r="E704" t="s">
        <v>31</v>
      </c>
      <c r="F704" t="s">
        <v>27</v>
      </c>
      <c r="G704" t="s">
        <v>28</v>
      </c>
      <c r="H704">
        <v>10076</v>
      </c>
      <c r="I704">
        <v>7337.42</v>
      </c>
      <c r="J704">
        <v>7337.42</v>
      </c>
      <c r="K704">
        <v>2738.58</v>
      </c>
      <c r="L704">
        <v>2738.58</v>
      </c>
      <c r="M704" t="s">
        <v>19</v>
      </c>
      <c r="N704">
        <v>42</v>
      </c>
    </row>
    <row r="705" spans="1:14" x14ac:dyDescent="0.35">
      <c r="A705">
        <v>100704</v>
      </c>
      <c r="B705">
        <v>26385</v>
      </c>
      <c r="C705" t="s">
        <v>333</v>
      </c>
      <c r="D705" t="s">
        <v>49</v>
      </c>
      <c r="E705" t="s">
        <v>26</v>
      </c>
      <c r="F705" t="s">
        <v>54</v>
      </c>
      <c r="G705" t="s">
        <v>47</v>
      </c>
      <c r="H705">
        <v>6566</v>
      </c>
      <c r="I705">
        <v>4934.8599999999997</v>
      </c>
      <c r="J705">
        <v>4934.8599999999997</v>
      </c>
      <c r="K705">
        <v>1631.14</v>
      </c>
      <c r="L705">
        <v>1631.14</v>
      </c>
      <c r="M705" t="s">
        <v>19</v>
      </c>
      <c r="N705">
        <v>56</v>
      </c>
    </row>
    <row r="706" spans="1:14" x14ac:dyDescent="0.35">
      <c r="A706">
        <v>100705</v>
      </c>
      <c r="B706">
        <v>66653</v>
      </c>
      <c r="C706" t="s">
        <v>421</v>
      </c>
      <c r="D706" t="s">
        <v>52</v>
      </c>
      <c r="E706" t="s">
        <v>22</v>
      </c>
      <c r="F706" t="s">
        <v>54</v>
      </c>
      <c r="G706" t="s">
        <v>47</v>
      </c>
      <c r="H706">
        <v>4455</v>
      </c>
      <c r="I706">
        <v>3893.98</v>
      </c>
      <c r="J706">
        <v>443.71</v>
      </c>
      <c r="K706">
        <v>561.02</v>
      </c>
      <c r="L706">
        <v>4011.29</v>
      </c>
      <c r="M706" t="s">
        <v>50</v>
      </c>
      <c r="N706">
        <v>114</v>
      </c>
    </row>
    <row r="707" spans="1:14" x14ac:dyDescent="0.35">
      <c r="A707">
        <v>100706</v>
      </c>
      <c r="B707">
        <v>24771</v>
      </c>
      <c r="C707" t="s">
        <v>104</v>
      </c>
      <c r="D707" t="s">
        <v>65</v>
      </c>
      <c r="E707" t="s">
        <v>37</v>
      </c>
      <c r="F707" t="s">
        <v>32</v>
      </c>
      <c r="G707" t="s">
        <v>72</v>
      </c>
      <c r="H707">
        <v>15359</v>
      </c>
      <c r="I707">
        <v>12363.78</v>
      </c>
      <c r="J707">
        <v>426.52</v>
      </c>
      <c r="K707">
        <v>2995.22</v>
      </c>
      <c r="L707">
        <v>14932.48</v>
      </c>
      <c r="M707" t="s">
        <v>50</v>
      </c>
      <c r="N707">
        <v>60</v>
      </c>
    </row>
    <row r="708" spans="1:14" x14ac:dyDescent="0.35">
      <c r="A708">
        <v>100707</v>
      </c>
      <c r="B708">
        <v>74747</v>
      </c>
      <c r="C708" t="s">
        <v>335</v>
      </c>
      <c r="D708" t="s">
        <v>49</v>
      </c>
      <c r="E708" t="s">
        <v>41</v>
      </c>
      <c r="F708" t="s">
        <v>17</v>
      </c>
      <c r="G708" t="s">
        <v>47</v>
      </c>
      <c r="H708">
        <v>303</v>
      </c>
      <c r="I708">
        <v>170.06</v>
      </c>
      <c r="J708">
        <v>96.1</v>
      </c>
      <c r="K708">
        <v>132.94</v>
      </c>
      <c r="L708">
        <v>206.9</v>
      </c>
      <c r="M708" t="s">
        <v>39</v>
      </c>
      <c r="N708">
        <v>102</v>
      </c>
    </row>
    <row r="709" spans="1:14" x14ac:dyDescent="0.35">
      <c r="A709">
        <v>100708</v>
      </c>
      <c r="B709">
        <v>97784</v>
      </c>
      <c r="C709" t="s">
        <v>251</v>
      </c>
      <c r="D709" t="s">
        <v>34</v>
      </c>
      <c r="E709" t="s">
        <v>41</v>
      </c>
      <c r="F709" t="s">
        <v>17</v>
      </c>
      <c r="G709" t="s">
        <v>28</v>
      </c>
      <c r="H709">
        <v>8442</v>
      </c>
      <c r="I709">
        <v>6979.28</v>
      </c>
      <c r="J709">
        <v>5815.75</v>
      </c>
      <c r="K709">
        <v>1462.72</v>
      </c>
      <c r="L709">
        <v>2626.25</v>
      </c>
      <c r="M709" t="s">
        <v>39</v>
      </c>
      <c r="N709">
        <v>102</v>
      </c>
    </row>
    <row r="710" spans="1:14" x14ac:dyDescent="0.35">
      <c r="A710">
        <v>100709</v>
      </c>
      <c r="B710">
        <v>97158</v>
      </c>
      <c r="C710" t="s">
        <v>486</v>
      </c>
      <c r="D710" t="s">
        <v>21</v>
      </c>
      <c r="E710" t="s">
        <v>37</v>
      </c>
      <c r="F710" t="s">
        <v>35</v>
      </c>
      <c r="G710" t="s">
        <v>18</v>
      </c>
      <c r="H710">
        <v>21147</v>
      </c>
      <c r="I710">
        <v>13043.9</v>
      </c>
      <c r="J710">
        <v>0</v>
      </c>
      <c r="K710">
        <v>8103.1</v>
      </c>
      <c r="L710">
        <v>21147</v>
      </c>
      <c r="M710" t="s">
        <v>62</v>
      </c>
      <c r="N710">
        <v>4</v>
      </c>
    </row>
    <row r="711" spans="1:14" x14ac:dyDescent="0.35">
      <c r="A711">
        <v>100710</v>
      </c>
      <c r="B711">
        <v>24012</v>
      </c>
      <c r="C711" t="s">
        <v>487</v>
      </c>
      <c r="D711" t="s">
        <v>34</v>
      </c>
      <c r="E711" t="s">
        <v>41</v>
      </c>
      <c r="F711" t="s">
        <v>54</v>
      </c>
      <c r="G711" t="s">
        <v>47</v>
      </c>
      <c r="H711">
        <v>14814</v>
      </c>
      <c r="I711">
        <v>9745.9699999999993</v>
      </c>
      <c r="J711">
        <v>9745.9699999999993</v>
      </c>
      <c r="K711">
        <v>5068.03</v>
      </c>
      <c r="L711">
        <v>5068.03</v>
      </c>
      <c r="M711" t="s">
        <v>19</v>
      </c>
      <c r="N711">
        <v>33</v>
      </c>
    </row>
    <row r="712" spans="1:14" x14ac:dyDescent="0.35">
      <c r="A712">
        <v>100711</v>
      </c>
      <c r="B712">
        <v>62039</v>
      </c>
      <c r="C712" t="s">
        <v>392</v>
      </c>
      <c r="D712" t="s">
        <v>21</v>
      </c>
      <c r="E712" t="s">
        <v>41</v>
      </c>
      <c r="F712" t="s">
        <v>17</v>
      </c>
      <c r="G712" t="s">
        <v>28</v>
      </c>
      <c r="H712">
        <v>15962</v>
      </c>
      <c r="I712">
        <v>14210.49</v>
      </c>
      <c r="J712">
        <v>14210.49</v>
      </c>
      <c r="K712">
        <v>1751.51</v>
      </c>
      <c r="L712">
        <v>1751.51</v>
      </c>
      <c r="M712" t="s">
        <v>19</v>
      </c>
      <c r="N712">
        <v>85</v>
      </c>
    </row>
    <row r="713" spans="1:14" x14ac:dyDescent="0.35">
      <c r="A713">
        <v>100712</v>
      </c>
      <c r="B713">
        <v>75400</v>
      </c>
      <c r="C713" t="s">
        <v>78</v>
      </c>
      <c r="D713" t="s">
        <v>21</v>
      </c>
      <c r="E713" t="s">
        <v>37</v>
      </c>
      <c r="F713" t="s">
        <v>32</v>
      </c>
      <c r="G713" t="s">
        <v>45</v>
      </c>
      <c r="H713">
        <v>16865</v>
      </c>
      <c r="I713">
        <v>9340.24</v>
      </c>
      <c r="J713">
        <v>9340.24</v>
      </c>
      <c r="K713">
        <v>7524.76</v>
      </c>
      <c r="L713">
        <v>7524.76</v>
      </c>
      <c r="M713" t="s">
        <v>19</v>
      </c>
      <c r="N713">
        <v>147</v>
      </c>
    </row>
    <row r="714" spans="1:14" x14ac:dyDescent="0.35">
      <c r="A714">
        <v>100713</v>
      </c>
      <c r="B714">
        <v>98202</v>
      </c>
      <c r="C714" t="s">
        <v>488</v>
      </c>
      <c r="D714" t="s">
        <v>15</v>
      </c>
      <c r="E714" t="s">
        <v>22</v>
      </c>
      <c r="F714" t="s">
        <v>17</v>
      </c>
      <c r="G714" t="s">
        <v>24</v>
      </c>
      <c r="H714">
        <v>14148</v>
      </c>
      <c r="I714">
        <v>11609.09</v>
      </c>
      <c r="J714">
        <v>11609.09</v>
      </c>
      <c r="K714">
        <v>2538.91</v>
      </c>
      <c r="L714">
        <v>2538.91</v>
      </c>
      <c r="M714" t="s">
        <v>19</v>
      </c>
      <c r="N714">
        <v>83</v>
      </c>
    </row>
    <row r="715" spans="1:14" x14ac:dyDescent="0.35">
      <c r="A715">
        <v>100714</v>
      </c>
      <c r="B715">
        <v>50631</v>
      </c>
      <c r="C715" t="s">
        <v>293</v>
      </c>
      <c r="D715" t="s">
        <v>52</v>
      </c>
      <c r="E715" t="s">
        <v>43</v>
      </c>
      <c r="F715" t="s">
        <v>61</v>
      </c>
      <c r="G715" t="s">
        <v>45</v>
      </c>
      <c r="H715">
        <v>9662</v>
      </c>
      <c r="I715">
        <v>7004.73</v>
      </c>
      <c r="J715">
        <v>7004.73</v>
      </c>
      <c r="K715">
        <v>2657.27</v>
      </c>
      <c r="L715">
        <v>2657.27</v>
      </c>
      <c r="M715" t="s">
        <v>19</v>
      </c>
      <c r="N715">
        <v>71</v>
      </c>
    </row>
    <row r="716" spans="1:14" x14ac:dyDescent="0.35">
      <c r="A716">
        <v>100715</v>
      </c>
      <c r="B716">
        <v>84805</v>
      </c>
      <c r="C716" t="s">
        <v>215</v>
      </c>
      <c r="D716" t="s">
        <v>30</v>
      </c>
      <c r="E716" t="s">
        <v>41</v>
      </c>
      <c r="F716" t="s">
        <v>44</v>
      </c>
      <c r="G716" t="s">
        <v>45</v>
      </c>
      <c r="H716">
        <v>21466</v>
      </c>
      <c r="I716">
        <v>18188.04</v>
      </c>
      <c r="J716">
        <v>18188.04</v>
      </c>
      <c r="K716">
        <v>3277.96</v>
      </c>
      <c r="L716">
        <v>3277.96</v>
      </c>
      <c r="M716" t="s">
        <v>19</v>
      </c>
      <c r="N716">
        <v>121</v>
      </c>
    </row>
    <row r="717" spans="1:14" x14ac:dyDescent="0.35">
      <c r="A717">
        <v>100716</v>
      </c>
      <c r="B717">
        <v>77163</v>
      </c>
      <c r="C717" t="s">
        <v>379</v>
      </c>
      <c r="D717" t="s">
        <v>15</v>
      </c>
      <c r="E717" t="s">
        <v>41</v>
      </c>
      <c r="F717" t="s">
        <v>23</v>
      </c>
      <c r="G717" t="s">
        <v>28</v>
      </c>
      <c r="H717">
        <v>19744</v>
      </c>
      <c r="I717">
        <v>16791.650000000001</v>
      </c>
      <c r="J717">
        <v>2227.2800000000002</v>
      </c>
      <c r="K717">
        <v>2952.35</v>
      </c>
      <c r="L717">
        <v>17516.72</v>
      </c>
      <c r="M717" t="s">
        <v>50</v>
      </c>
      <c r="N717">
        <v>36</v>
      </c>
    </row>
    <row r="718" spans="1:14" x14ac:dyDescent="0.35">
      <c r="A718">
        <v>100717</v>
      </c>
      <c r="B718">
        <v>95604</v>
      </c>
      <c r="C718" t="s">
        <v>455</v>
      </c>
      <c r="D718" t="s">
        <v>21</v>
      </c>
      <c r="E718" t="s">
        <v>22</v>
      </c>
      <c r="F718" t="s">
        <v>61</v>
      </c>
      <c r="G718" t="s">
        <v>38</v>
      </c>
      <c r="H718">
        <v>10938</v>
      </c>
      <c r="I718">
        <v>7748.06</v>
      </c>
      <c r="J718">
        <v>3768.99</v>
      </c>
      <c r="K718">
        <v>3189.94</v>
      </c>
      <c r="L718">
        <v>7169.01</v>
      </c>
      <c r="M718" t="s">
        <v>39</v>
      </c>
      <c r="N718">
        <v>71</v>
      </c>
    </row>
    <row r="719" spans="1:14" x14ac:dyDescent="0.35">
      <c r="A719">
        <v>100718</v>
      </c>
      <c r="B719">
        <v>41216</v>
      </c>
      <c r="C719" t="s">
        <v>489</v>
      </c>
      <c r="D719" t="s">
        <v>52</v>
      </c>
      <c r="E719" t="s">
        <v>22</v>
      </c>
      <c r="F719" t="s">
        <v>35</v>
      </c>
      <c r="G719" t="s">
        <v>18</v>
      </c>
      <c r="H719">
        <v>13929</v>
      </c>
      <c r="I719">
        <v>12353.23</v>
      </c>
      <c r="J719">
        <v>5165.95</v>
      </c>
      <c r="K719">
        <v>1575.77</v>
      </c>
      <c r="L719">
        <v>8763.0499999999993</v>
      </c>
      <c r="M719" t="s">
        <v>39</v>
      </c>
      <c r="N719">
        <v>165</v>
      </c>
    </row>
    <row r="720" spans="1:14" x14ac:dyDescent="0.35">
      <c r="A720">
        <v>100719</v>
      </c>
      <c r="B720">
        <v>50768</v>
      </c>
      <c r="C720" t="s">
        <v>399</v>
      </c>
      <c r="D720" t="s">
        <v>65</v>
      </c>
      <c r="E720" t="s">
        <v>16</v>
      </c>
      <c r="F720" t="s">
        <v>27</v>
      </c>
      <c r="G720" t="s">
        <v>28</v>
      </c>
      <c r="H720">
        <v>13032</v>
      </c>
      <c r="I720">
        <v>12259.35</v>
      </c>
      <c r="J720">
        <v>12259.35</v>
      </c>
      <c r="K720">
        <v>772.65</v>
      </c>
      <c r="L720">
        <v>772.65</v>
      </c>
      <c r="M720" t="s">
        <v>19</v>
      </c>
      <c r="N720">
        <v>26</v>
      </c>
    </row>
    <row r="721" spans="1:14" x14ac:dyDescent="0.35">
      <c r="A721">
        <v>100720</v>
      </c>
      <c r="B721">
        <v>82067</v>
      </c>
      <c r="C721" t="s">
        <v>490</v>
      </c>
      <c r="D721" t="s">
        <v>30</v>
      </c>
      <c r="E721" t="s">
        <v>37</v>
      </c>
      <c r="F721" t="s">
        <v>35</v>
      </c>
      <c r="G721" t="s">
        <v>38</v>
      </c>
      <c r="H721">
        <v>19890</v>
      </c>
      <c r="I721">
        <v>11725.04</v>
      </c>
      <c r="J721">
        <v>11725.04</v>
      </c>
      <c r="K721">
        <v>8164.96</v>
      </c>
      <c r="L721">
        <v>8164.96</v>
      </c>
      <c r="M721" t="s">
        <v>19</v>
      </c>
      <c r="N721">
        <v>30</v>
      </c>
    </row>
    <row r="722" spans="1:14" x14ac:dyDescent="0.35">
      <c r="A722">
        <v>100721</v>
      </c>
      <c r="B722">
        <v>51872</v>
      </c>
      <c r="C722" t="s">
        <v>326</v>
      </c>
      <c r="D722" t="s">
        <v>34</v>
      </c>
      <c r="E722" t="s">
        <v>22</v>
      </c>
      <c r="F722" t="s">
        <v>17</v>
      </c>
      <c r="G722" t="s">
        <v>72</v>
      </c>
      <c r="H722">
        <v>19226</v>
      </c>
      <c r="I722">
        <v>14350.82</v>
      </c>
      <c r="J722">
        <v>0</v>
      </c>
      <c r="K722">
        <v>4875.18</v>
      </c>
      <c r="L722">
        <v>19226</v>
      </c>
      <c r="M722" t="s">
        <v>62</v>
      </c>
      <c r="N722">
        <v>60</v>
      </c>
    </row>
    <row r="723" spans="1:14" x14ac:dyDescent="0.35">
      <c r="A723">
        <v>100722</v>
      </c>
      <c r="B723">
        <v>12782</v>
      </c>
      <c r="C723" t="s">
        <v>491</v>
      </c>
      <c r="D723" t="s">
        <v>15</v>
      </c>
      <c r="E723" t="s">
        <v>26</v>
      </c>
      <c r="F723" t="s">
        <v>35</v>
      </c>
      <c r="G723" t="s">
        <v>47</v>
      </c>
      <c r="H723">
        <v>17398</v>
      </c>
      <c r="I723">
        <v>14209.26</v>
      </c>
      <c r="J723">
        <v>14209.26</v>
      </c>
      <c r="K723">
        <v>3188.74</v>
      </c>
      <c r="L723">
        <v>3188.74</v>
      </c>
      <c r="M723" t="s">
        <v>19</v>
      </c>
      <c r="N723">
        <v>28</v>
      </c>
    </row>
    <row r="724" spans="1:14" x14ac:dyDescent="0.35">
      <c r="A724">
        <v>100723</v>
      </c>
      <c r="B724">
        <v>11969</v>
      </c>
      <c r="C724" t="s">
        <v>492</v>
      </c>
      <c r="D724" t="s">
        <v>34</v>
      </c>
      <c r="E724" t="s">
        <v>31</v>
      </c>
      <c r="F724" t="s">
        <v>44</v>
      </c>
      <c r="G724" t="s">
        <v>24</v>
      </c>
      <c r="H724">
        <v>3786</v>
      </c>
      <c r="I724">
        <v>2288.9499999999998</v>
      </c>
      <c r="J724">
        <v>2288.9499999999998</v>
      </c>
      <c r="K724">
        <v>1497.05</v>
      </c>
      <c r="L724">
        <v>1497.05</v>
      </c>
      <c r="M724" t="s">
        <v>19</v>
      </c>
      <c r="N724">
        <v>44</v>
      </c>
    </row>
    <row r="725" spans="1:14" x14ac:dyDescent="0.35">
      <c r="A725">
        <v>100724</v>
      </c>
      <c r="B725">
        <v>60788</v>
      </c>
      <c r="C725" t="s">
        <v>53</v>
      </c>
      <c r="D725" t="s">
        <v>49</v>
      </c>
      <c r="E725" t="s">
        <v>37</v>
      </c>
      <c r="F725" t="s">
        <v>17</v>
      </c>
      <c r="G725" t="s">
        <v>72</v>
      </c>
      <c r="H725">
        <v>1670</v>
      </c>
      <c r="I725">
        <v>998</v>
      </c>
      <c r="J725">
        <v>998</v>
      </c>
      <c r="K725">
        <v>672</v>
      </c>
      <c r="L725">
        <v>672</v>
      </c>
      <c r="M725" t="s">
        <v>19</v>
      </c>
      <c r="N725">
        <v>125</v>
      </c>
    </row>
    <row r="726" spans="1:14" x14ac:dyDescent="0.35">
      <c r="A726">
        <v>100725</v>
      </c>
      <c r="B726">
        <v>62898</v>
      </c>
      <c r="C726" t="s">
        <v>493</v>
      </c>
      <c r="D726" t="s">
        <v>15</v>
      </c>
      <c r="E726" t="s">
        <v>41</v>
      </c>
      <c r="F726" t="s">
        <v>32</v>
      </c>
      <c r="G726" t="s">
        <v>47</v>
      </c>
      <c r="H726">
        <v>21429</v>
      </c>
      <c r="I726">
        <v>14055.82</v>
      </c>
      <c r="J726">
        <v>0</v>
      </c>
      <c r="K726">
        <v>7373.18</v>
      </c>
      <c r="L726">
        <v>21429</v>
      </c>
      <c r="M726" t="s">
        <v>62</v>
      </c>
      <c r="N726">
        <v>28</v>
      </c>
    </row>
    <row r="727" spans="1:14" x14ac:dyDescent="0.35">
      <c r="A727">
        <v>100726</v>
      </c>
      <c r="B727">
        <v>70127</v>
      </c>
      <c r="C727" t="s">
        <v>494</v>
      </c>
      <c r="D727" t="s">
        <v>65</v>
      </c>
      <c r="E727" t="s">
        <v>56</v>
      </c>
      <c r="F727" t="s">
        <v>54</v>
      </c>
      <c r="G727" t="s">
        <v>24</v>
      </c>
      <c r="H727">
        <v>12409</v>
      </c>
      <c r="I727">
        <v>8988.7999999999993</v>
      </c>
      <c r="J727">
        <v>8988.7999999999993</v>
      </c>
      <c r="K727">
        <v>3420.2</v>
      </c>
      <c r="L727">
        <v>3420.2</v>
      </c>
      <c r="M727" t="s">
        <v>19</v>
      </c>
      <c r="N727">
        <v>29</v>
      </c>
    </row>
    <row r="728" spans="1:14" x14ac:dyDescent="0.35">
      <c r="A728">
        <v>100727</v>
      </c>
      <c r="B728">
        <v>66147</v>
      </c>
      <c r="C728" t="s">
        <v>495</v>
      </c>
      <c r="D728" t="s">
        <v>34</v>
      </c>
      <c r="E728" t="s">
        <v>41</v>
      </c>
      <c r="F728" t="s">
        <v>23</v>
      </c>
      <c r="G728" t="s">
        <v>18</v>
      </c>
      <c r="H728">
        <v>11034</v>
      </c>
      <c r="I728">
        <v>9541.64</v>
      </c>
      <c r="J728">
        <v>9541.64</v>
      </c>
      <c r="K728">
        <v>1492.36</v>
      </c>
      <c r="L728">
        <v>1492.36</v>
      </c>
      <c r="M728" t="s">
        <v>19</v>
      </c>
      <c r="N728">
        <v>106</v>
      </c>
    </row>
    <row r="729" spans="1:14" x14ac:dyDescent="0.35">
      <c r="A729">
        <v>100728</v>
      </c>
      <c r="B729">
        <v>35785</v>
      </c>
      <c r="C729" t="s">
        <v>127</v>
      </c>
      <c r="D729" t="s">
        <v>34</v>
      </c>
      <c r="E729" t="s">
        <v>26</v>
      </c>
      <c r="F729" t="s">
        <v>35</v>
      </c>
      <c r="G729" t="s">
        <v>45</v>
      </c>
      <c r="H729">
        <v>17323</v>
      </c>
      <c r="I729">
        <v>13155.96</v>
      </c>
      <c r="J729">
        <v>3164.15</v>
      </c>
      <c r="K729">
        <v>4167.04</v>
      </c>
      <c r="L729">
        <v>14158.85</v>
      </c>
      <c r="M729" t="s">
        <v>50</v>
      </c>
      <c r="N729">
        <v>171</v>
      </c>
    </row>
    <row r="730" spans="1:14" x14ac:dyDescent="0.35">
      <c r="A730">
        <v>100729</v>
      </c>
      <c r="B730">
        <v>17891</v>
      </c>
      <c r="C730" t="s">
        <v>329</v>
      </c>
      <c r="D730" t="s">
        <v>30</v>
      </c>
      <c r="E730" t="s">
        <v>43</v>
      </c>
      <c r="F730" t="s">
        <v>54</v>
      </c>
      <c r="G730" t="s">
        <v>38</v>
      </c>
      <c r="H730">
        <v>21426</v>
      </c>
      <c r="I730">
        <v>18456.39</v>
      </c>
      <c r="J730">
        <v>934.87</v>
      </c>
      <c r="K730">
        <v>2969.61</v>
      </c>
      <c r="L730">
        <v>20491.13</v>
      </c>
      <c r="M730" t="s">
        <v>50</v>
      </c>
      <c r="N730">
        <v>82</v>
      </c>
    </row>
    <row r="731" spans="1:14" x14ac:dyDescent="0.35">
      <c r="A731">
        <v>100730</v>
      </c>
      <c r="B731">
        <v>43048</v>
      </c>
      <c r="C731" t="s">
        <v>123</v>
      </c>
      <c r="D731" t="s">
        <v>52</v>
      </c>
      <c r="E731" t="s">
        <v>22</v>
      </c>
      <c r="F731" t="s">
        <v>32</v>
      </c>
      <c r="G731" t="s">
        <v>38</v>
      </c>
      <c r="H731">
        <v>379</v>
      </c>
      <c r="I731">
        <v>280.3</v>
      </c>
      <c r="J731">
        <v>280.3</v>
      </c>
      <c r="K731">
        <v>98.7</v>
      </c>
      <c r="L731">
        <v>98.7</v>
      </c>
      <c r="M731" t="s">
        <v>19</v>
      </c>
      <c r="N731">
        <v>42</v>
      </c>
    </row>
    <row r="732" spans="1:14" x14ac:dyDescent="0.35">
      <c r="A732">
        <v>100731</v>
      </c>
      <c r="B732">
        <v>73124</v>
      </c>
      <c r="C732" t="s">
        <v>496</v>
      </c>
      <c r="D732" t="s">
        <v>15</v>
      </c>
      <c r="E732" t="s">
        <v>43</v>
      </c>
      <c r="F732" t="s">
        <v>23</v>
      </c>
      <c r="G732" t="s">
        <v>45</v>
      </c>
      <c r="H732">
        <v>22864</v>
      </c>
      <c r="I732">
        <v>21377.58</v>
      </c>
      <c r="J732">
        <v>21377.58</v>
      </c>
      <c r="K732">
        <v>1486.42</v>
      </c>
      <c r="L732">
        <v>1486.42</v>
      </c>
      <c r="M732" t="s">
        <v>19</v>
      </c>
      <c r="N732">
        <v>52</v>
      </c>
    </row>
    <row r="733" spans="1:14" x14ac:dyDescent="0.35">
      <c r="A733">
        <v>100732</v>
      </c>
      <c r="B733">
        <v>29133</v>
      </c>
      <c r="C733" t="s">
        <v>124</v>
      </c>
      <c r="D733" t="s">
        <v>15</v>
      </c>
      <c r="E733" t="s">
        <v>26</v>
      </c>
      <c r="F733" t="s">
        <v>61</v>
      </c>
      <c r="G733" t="s">
        <v>18</v>
      </c>
      <c r="H733">
        <v>20656</v>
      </c>
      <c r="I733">
        <v>11995.98</v>
      </c>
      <c r="J733">
        <v>6360.59</v>
      </c>
      <c r="K733">
        <v>8660.02</v>
      </c>
      <c r="L733">
        <v>14295.41</v>
      </c>
      <c r="M733" t="s">
        <v>39</v>
      </c>
      <c r="N733">
        <v>76</v>
      </c>
    </row>
    <row r="734" spans="1:14" x14ac:dyDescent="0.35">
      <c r="A734">
        <v>100733</v>
      </c>
      <c r="B734">
        <v>33946</v>
      </c>
      <c r="C734" t="s">
        <v>497</v>
      </c>
      <c r="D734" t="s">
        <v>52</v>
      </c>
      <c r="E734" t="s">
        <v>31</v>
      </c>
      <c r="F734" t="s">
        <v>32</v>
      </c>
      <c r="G734" t="s">
        <v>18</v>
      </c>
      <c r="H734">
        <v>17181</v>
      </c>
      <c r="I734">
        <v>12314.34</v>
      </c>
      <c r="J734">
        <v>12314.34</v>
      </c>
      <c r="K734">
        <v>4866.66</v>
      </c>
      <c r="L734">
        <v>4866.66</v>
      </c>
      <c r="M734" t="s">
        <v>19</v>
      </c>
      <c r="N734">
        <v>138</v>
      </c>
    </row>
    <row r="735" spans="1:14" x14ac:dyDescent="0.35">
      <c r="A735">
        <v>100734</v>
      </c>
      <c r="B735">
        <v>83566</v>
      </c>
      <c r="C735" t="s">
        <v>498</v>
      </c>
      <c r="D735" t="s">
        <v>15</v>
      </c>
      <c r="E735" t="s">
        <v>26</v>
      </c>
      <c r="F735" t="s">
        <v>44</v>
      </c>
      <c r="G735" t="s">
        <v>47</v>
      </c>
      <c r="H735">
        <v>10366</v>
      </c>
      <c r="I735">
        <v>6572.77</v>
      </c>
      <c r="J735">
        <v>6572.77</v>
      </c>
      <c r="K735">
        <v>3793.23</v>
      </c>
      <c r="L735">
        <v>3793.23</v>
      </c>
      <c r="M735" t="s">
        <v>19</v>
      </c>
      <c r="N735">
        <v>96</v>
      </c>
    </row>
    <row r="736" spans="1:14" x14ac:dyDescent="0.35">
      <c r="A736">
        <v>100735</v>
      </c>
      <c r="B736">
        <v>40311</v>
      </c>
      <c r="C736" t="s">
        <v>499</v>
      </c>
      <c r="D736" t="s">
        <v>30</v>
      </c>
      <c r="E736" t="s">
        <v>31</v>
      </c>
      <c r="F736" t="s">
        <v>35</v>
      </c>
      <c r="G736" t="s">
        <v>24</v>
      </c>
      <c r="H736">
        <v>6067</v>
      </c>
      <c r="I736">
        <v>3966.15</v>
      </c>
      <c r="J736">
        <v>3966.15</v>
      </c>
      <c r="K736">
        <v>2100.85</v>
      </c>
      <c r="L736">
        <v>2100.85</v>
      </c>
      <c r="M736" t="s">
        <v>19</v>
      </c>
      <c r="N736">
        <v>130</v>
      </c>
    </row>
    <row r="737" spans="1:14" x14ac:dyDescent="0.35">
      <c r="A737">
        <v>100736</v>
      </c>
      <c r="B737">
        <v>92189</v>
      </c>
      <c r="C737" t="s">
        <v>340</v>
      </c>
      <c r="D737" t="s">
        <v>49</v>
      </c>
      <c r="E737" t="s">
        <v>56</v>
      </c>
      <c r="F737" t="s">
        <v>23</v>
      </c>
      <c r="G737" t="s">
        <v>72</v>
      </c>
      <c r="H737">
        <v>13451</v>
      </c>
      <c r="I737">
        <v>12734.12</v>
      </c>
      <c r="J737">
        <v>12734.12</v>
      </c>
      <c r="K737">
        <v>716.88</v>
      </c>
      <c r="L737">
        <v>716.88</v>
      </c>
      <c r="M737" t="s">
        <v>19</v>
      </c>
      <c r="N737">
        <v>21</v>
      </c>
    </row>
    <row r="738" spans="1:14" x14ac:dyDescent="0.35">
      <c r="A738">
        <v>100737</v>
      </c>
      <c r="B738">
        <v>85455</v>
      </c>
      <c r="C738" t="s">
        <v>102</v>
      </c>
      <c r="D738" t="s">
        <v>30</v>
      </c>
      <c r="E738" t="s">
        <v>22</v>
      </c>
      <c r="F738" t="s">
        <v>17</v>
      </c>
      <c r="G738" t="s">
        <v>28</v>
      </c>
      <c r="H738">
        <v>1068</v>
      </c>
      <c r="I738">
        <v>735.56</v>
      </c>
      <c r="J738">
        <v>366.33</v>
      </c>
      <c r="K738">
        <v>332.44</v>
      </c>
      <c r="L738">
        <v>701.67</v>
      </c>
      <c r="M738" t="s">
        <v>39</v>
      </c>
      <c r="N738">
        <v>35</v>
      </c>
    </row>
    <row r="739" spans="1:14" x14ac:dyDescent="0.35">
      <c r="A739">
        <v>100738</v>
      </c>
      <c r="B739">
        <v>96968</v>
      </c>
      <c r="C739" t="s">
        <v>304</v>
      </c>
      <c r="D739" t="s">
        <v>65</v>
      </c>
      <c r="E739" t="s">
        <v>41</v>
      </c>
      <c r="F739" t="s">
        <v>32</v>
      </c>
      <c r="G739" t="s">
        <v>45</v>
      </c>
      <c r="H739">
        <v>15805</v>
      </c>
      <c r="I739">
        <v>10033.58</v>
      </c>
      <c r="J739">
        <v>10033.58</v>
      </c>
      <c r="K739">
        <v>5771.42</v>
      </c>
      <c r="L739">
        <v>5771.42</v>
      </c>
      <c r="M739" t="s">
        <v>19</v>
      </c>
      <c r="N739">
        <v>76</v>
      </c>
    </row>
    <row r="740" spans="1:14" x14ac:dyDescent="0.35">
      <c r="A740">
        <v>100739</v>
      </c>
      <c r="B740">
        <v>83015</v>
      </c>
      <c r="C740" t="s">
        <v>285</v>
      </c>
      <c r="D740" t="s">
        <v>34</v>
      </c>
      <c r="E740" t="s">
        <v>41</v>
      </c>
      <c r="F740" t="s">
        <v>44</v>
      </c>
      <c r="G740" t="s">
        <v>28</v>
      </c>
      <c r="H740">
        <v>17533</v>
      </c>
      <c r="I740">
        <v>10693.88</v>
      </c>
      <c r="J740">
        <v>10693.88</v>
      </c>
      <c r="K740">
        <v>6839.12</v>
      </c>
      <c r="L740">
        <v>6839.12</v>
      </c>
      <c r="M740" t="s">
        <v>19</v>
      </c>
      <c r="N740">
        <v>178</v>
      </c>
    </row>
    <row r="741" spans="1:14" x14ac:dyDescent="0.35">
      <c r="A741">
        <v>100740</v>
      </c>
      <c r="B741">
        <v>53040</v>
      </c>
      <c r="C741" t="s">
        <v>227</v>
      </c>
      <c r="D741" t="s">
        <v>34</v>
      </c>
      <c r="E741" t="s">
        <v>43</v>
      </c>
      <c r="F741" t="s">
        <v>17</v>
      </c>
      <c r="G741" t="s">
        <v>72</v>
      </c>
      <c r="H741">
        <v>12426</v>
      </c>
      <c r="I741">
        <v>9729.06</v>
      </c>
      <c r="J741">
        <v>9729.06</v>
      </c>
      <c r="K741">
        <v>2696.94</v>
      </c>
      <c r="L741">
        <v>2696.94</v>
      </c>
      <c r="M741" t="s">
        <v>19</v>
      </c>
      <c r="N741">
        <v>39</v>
      </c>
    </row>
    <row r="742" spans="1:14" x14ac:dyDescent="0.35">
      <c r="A742">
        <v>100741</v>
      </c>
      <c r="B742">
        <v>75795</v>
      </c>
      <c r="C742" t="s">
        <v>403</v>
      </c>
      <c r="D742" t="s">
        <v>49</v>
      </c>
      <c r="E742" t="s">
        <v>31</v>
      </c>
      <c r="F742" t="s">
        <v>54</v>
      </c>
      <c r="G742" t="s">
        <v>72</v>
      </c>
      <c r="H742">
        <v>22449</v>
      </c>
      <c r="I742">
        <v>19809.849999999999</v>
      </c>
      <c r="J742">
        <v>12781.94</v>
      </c>
      <c r="K742">
        <v>2639.15</v>
      </c>
      <c r="L742">
        <v>9667.06</v>
      </c>
      <c r="M742" t="s">
        <v>39</v>
      </c>
      <c r="N742">
        <v>130</v>
      </c>
    </row>
    <row r="743" spans="1:14" x14ac:dyDescent="0.35">
      <c r="A743">
        <v>100742</v>
      </c>
      <c r="B743">
        <v>97566</v>
      </c>
      <c r="C743" t="s">
        <v>500</v>
      </c>
      <c r="D743" t="s">
        <v>52</v>
      </c>
      <c r="E743" t="s">
        <v>56</v>
      </c>
      <c r="F743" t="s">
        <v>32</v>
      </c>
      <c r="G743" t="s">
        <v>38</v>
      </c>
      <c r="H743">
        <v>24220</v>
      </c>
      <c r="I743">
        <v>16857.95</v>
      </c>
      <c r="J743">
        <v>2944.32</v>
      </c>
      <c r="K743">
        <v>7362.05</v>
      </c>
      <c r="L743">
        <v>21275.68</v>
      </c>
      <c r="M743" t="s">
        <v>50</v>
      </c>
      <c r="N743">
        <v>39</v>
      </c>
    </row>
    <row r="744" spans="1:14" x14ac:dyDescent="0.35">
      <c r="A744">
        <v>100743</v>
      </c>
      <c r="B744">
        <v>69131</v>
      </c>
      <c r="C744" t="s">
        <v>75</v>
      </c>
      <c r="D744" t="s">
        <v>30</v>
      </c>
      <c r="E744" t="s">
        <v>31</v>
      </c>
      <c r="F744" t="s">
        <v>27</v>
      </c>
      <c r="G744" t="s">
        <v>24</v>
      </c>
      <c r="H744">
        <v>2307</v>
      </c>
      <c r="I744">
        <v>2028.05</v>
      </c>
      <c r="J744">
        <v>1725.81</v>
      </c>
      <c r="K744">
        <v>278.95</v>
      </c>
      <c r="L744">
        <v>581.19000000000005</v>
      </c>
      <c r="M744" t="s">
        <v>39</v>
      </c>
      <c r="N744">
        <v>54</v>
      </c>
    </row>
    <row r="745" spans="1:14" x14ac:dyDescent="0.35">
      <c r="A745">
        <v>100744</v>
      </c>
      <c r="B745">
        <v>67547</v>
      </c>
      <c r="C745" t="s">
        <v>73</v>
      </c>
      <c r="D745" t="s">
        <v>65</v>
      </c>
      <c r="E745" t="s">
        <v>41</v>
      </c>
      <c r="F745" t="s">
        <v>32</v>
      </c>
      <c r="G745" t="s">
        <v>18</v>
      </c>
      <c r="H745">
        <v>13204</v>
      </c>
      <c r="I745">
        <v>8842.7999999999993</v>
      </c>
      <c r="J745">
        <v>4813.6099999999997</v>
      </c>
      <c r="K745">
        <v>4361.2</v>
      </c>
      <c r="L745">
        <v>8390.39</v>
      </c>
      <c r="M745" t="s">
        <v>39</v>
      </c>
      <c r="N745">
        <v>132</v>
      </c>
    </row>
    <row r="746" spans="1:14" x14ac:dyDescent="0.35">
      <c r="A746">
        <v>100745</v>
      </c>
      <c r="B746">
        <v>36899</v>
      </c>
      <c r="C746" t="s">
        <v>199</v>
      </c>
      <c r="D746" t="s">
        <v>65</v>
      </c>
      <c r="E746" t="s">
        <v>37</v>
      </c>
      <c r="F746" t="s">
        <v>23</v>
      </c>
      <c r="G746" t="s">
        <v>47</v>
      </c>
      <c r="H746">
        <v>5262</v>
      </c>
      <c r="I746">
        <v>4527.6400000000003</v>
      </c>
      <c r="J746">
        <v>4527.6400000000003</v>
      </c>
      <c r="K746">
        <v>734.36</v>
      </c>
      <c r="L746">
        <v>734.36</v>
      </c>
      <c r="M746" t="s">
        <v>19</v>
      </c>
      <c r="N746">
        <v>165</v>
      </c>
    </row>
    <row r="747" spans="1:14" x14ac:dyDescent="0.35">
      <c r="A747">
        <v>100746</v>
      </c>
      <c r="B747">
        <v>82463</v>
      </c>
      <c r="C747" t="s">
        <v>98</v>
      </c>
      <c r="D747" t="s">
        <v>21</v>
      </c>
      <c r="E747" t="s">
        <v>31</v>
      </c>
      <c r="F747" t="s">
        <v>35</v>
      </c>
      <c r="G747" t="s">
        <v>72</v>
      </c>
      <c r="H747">
        <v>7071</v>
      </c>
      <c r="I747">
        <v>6230.99</v>
      </c>
      <c r="J747">
        <v>6230.99</v>
      </c>
      <c r="K747">
        <v>840.01</v>
      </c>
      <c r="L747">
        <v>840.01</v>
      </c>
      <c r="M747" t="s">
        <v>19</v>
      </c>
      <c r="N747">
        <v>127</v>
      </c>
    </row>
    <row r="748" spans="1:14" x14ac:dyDescent="0.35">
      <c r="A748">
        <v>100747</v>
      </c>
      <c r="B748">
        <v>89793</v>
      </c>
      <c r="C748" t="s">
        <v>316</v>
      </c>
      <c r="D748" t="s">
        <v>30</v>
      </c>
      <c r="E748" t="s">
        <v>37</v>
      </c>
      <c r="F748" t="s">
        <v>27</v>
      </c>
      <c r="G748" t="s">
        <v>38</v>
      </c>
      <c r="H748">
        <v>8073</v>
      </c>
      <c r="I748">
        <v>4855.7700000000004</v>
      </c>
      <c r="J748">
        <v>4855.7700000000004</v>
      </c>
      <c r="K748">
        <v>3217.23</v>
      </c>
      <c r="L748">
        <v>3217.23</v>
      </c>
      <c r="M748" t="s">
        <v>19</v>
      </c>
      <c r="N748">
        <v>168</v>
      </c>
    </row>
    <row r="749" spans="1:14" x14ac:dyDescent="0.35">
      <c r="A749">
        <v>100748</v>
      </c>
      <c r="B749">
        <v>14806</v>
      </c>
      <c r="C749" t="s">
        <v>469</v>
      </c>
      <c r="D749" t="s">
        <v>34</v>
      </c>
      <c r="E749" t="s">
        <v>43</v>
      </c>
      <c r="F749" t="s">
        <v>54</v>
      </c>
      <c r="G749" t="s">
        <v>38</v>
      </c>
      <c r="H749">
        <v>8586</v>
      </c>
      <c r="I749">
        <v>7806.46</v>
      </c>
      <c r="J749">
        <v>3960.46</v>
      </c>
      <c r="K749">
        <v>779.54</v>
      </c>
      <c r="L749">
        <v>4625.54</v>
      </c>
      <c r="M749" t="s">
        <v>39</v>
      </c>
      <c r="N749">
        <v>52</v>
      </c>
    </row>
    <row r="750" spans="1:14" x14ac:dyDescent="0.35">
      <c r="A750">
        <v>100749</v>
      </c>
      <c r="B750">
        <v>31397</v>
      </c>
      <c r="C750" t="s">
        <v>221</v>
      </c>
      <c r="D750" t="s">
        <v>65</v>
      </c>
      <c r="E750" t="s">
        <v>37</v>
      </c>
      <c r="F750" t="s">
        <v>44</v>
      </c>
      <c r="G750" t="s">
        <v>38</v>
      </c>
      <c r="H750">
        <v>18506</v>
      </c>
      <c r="I750">
        <v>14543.77</v>
      </c>
      <c r="J750">
        <v>14543.77</v>
      </c>
      <c r="K750">
        <v>3962.23</v>
      </c>
      <c r="L750">
        <v>3962.23</v>
      </c>
      <c r="M750" t="s">
        <v>19</v>
      </c>
      <c r="N750">
        <v>117</v>
      </c>
    </row>
    <row r="751" spans="1:14" x14ac:dyDescent="0.35">
      <c r="A751">
        <v>100750</v>
      </c>
      <c r="B751">
        <v>18532</v>
      </c>
      <c r="C751" t="s">
        <v>247</v>
      </c>
      <c r="D751" t="s">
        <v>21</v>
      </c>
      <c r="E751" t="s">
        <v>56</v>
      </c>
      <c r="F751" t="s">
        <v>54</v>
      </c>
      <c r="G751" t="s">
        <v>72</v>
      </c>
      <c r="H751">
        <v>11208</v>
      </c>
      <c r="I751">
        <v>7110.51</v>
      </c>
      <c r="J751">
        <v>6339.11</v>
      </c>
      <c r="K751">
        <v>4097.49</v>
      </c>
      <c r="L751">
        <v>4868.8900000000003</v>
      </c>
      <c r="M751" t="s">
        <v>39</v>
      </c>
      <c r="N751">
        <v>14</v>
      </c>
    </row>
    <row r="752" spans="1:14" x14ac:dyDescent="0.35">
      <c r="A752">
        <v>100751</v>
      </c>
      <c r="B752">
        <v>95083</v>
      </c>
      <c r="C752" t="s">
        <v>350</v>
      </c>
      <c r="D752" t="s">
        <v>34</v>
      </c>
      <c r="E752" t="s">
        <v>41</v>
      </c>
      <c r="F752" t="s">
        <v>27</v>
      </c>
      <c r="G752" t="s">
        <v>24</v>
      </c>
      <c r="H752">
        <v>24674</v>
      </c>
      <c r="I752">
        <v>16676.919999999998</v>
      </c>
      <c r="J752">
        <v>16676.919999999998</v>
      </c>
      <c r="K752">
        <v>7997.08</v>
      </c>
      <c r="L752">
        <v>7997.08</v>
      </c>
      <c r="M752" t="s">
        <v>19</v>
      </c>
      <c r="N752">
        <v>18</v>
      </c>
    </row>
    <row r="753" spans="1:14" x14ac:dyDescent="0.35">
      <c r="A753">
        <v>100752</v>
      </c>
      <c r="B753">
        <v>72240</v>
      </c>
      <c r="C753" t="s">
        <v>501</v>
      </c>
      <c r="D753" t="s">
        <v>49</v>
      </c>
      <c r="E753" t="s">
        <v>26</v>
      </c>
      <c r="F753" t="s">
        <v>27</v>
      </c>
      <c r="G753" t="s">
        <v>47</v>
      </c>
      <c r="H753">
        <v>4004</v>
      </c>
      <c r="I753">
        <v>2315.92</v>
      </c>
      <c r="J753">
        <v>0</v>
      </c>
      <c r="K753">
        <v>1688.08</v>
      </c>
      <c r="L753">
        <v>4004</v>
      </c>
      <c r="M753" t="s">
        <v>62</v>
      </c>
      <c r="N753">
        <v>50</v>
      </c>
    </row>
    <row r="754" spans="1:14" x14ac:dyDescent="0.35">
      <c r="A754">
        <v>100753</v>
      </c>
      <c r="B754">
        <v>83287</v>
      </c>
      <c r="C754" t="s">
        <v>502</v>
      </c>
      <c r="D754" t="s">
        <v>65</v>
      </c>
      <c r="E754" t="s">
        <v>56</v>
      </c>
      <c r="F754" t="s">
        <v>61</v>
      </c>
      <c r="G754" t="s">
        <v>38</v>
      </c>
      <c r="H754">
        <v>20240</v>
      </c>
      <c r="I754">
        <v>11474.53</v>
      </c>
      <c r="J754">
        <v>11474.53</v>
      </c>
      <c r="K754">
        <v>8765.4699999999993</v>
      </c>
      <c r="L754">
        <v>8765.4699999999993</v>
      </c>
      <c r="M754" t="s">
        <v>19</v>
      </c>
      <c r="N754">
        <v>180</v>
      </c>
    </row>
    <row r="755" spans="1:14" x14ac:dyDescent="0.35">
      <c r="A755">
        <v>100754</v>
      </c>
      <c r="B755">
        <v>18891</v>
      </c>
      <c r="C755" t="s">
        <v>503</v>
      </c>
      <c r="D755" t="s">
        <v>15</v>
      </c>
      <c r="E755" t="s">
        <v>41</v>
      </c>
      <c r="F755" t="s">
        <v>32</v>
      </c>
      <c r="G755" t="s">
        <v>24</v>
      </c>
      <c r="H755">
        <v>12538</v>
      </c>
      <c r="I755">
        <v>8597.43</v>
      </c>
      <c r="J755">
        <v>4858.99</v>
      </c>
      <c r="K755">
        <v>3940.57</v>
      </c>
      <c r="L755">
        <v>7679.01</v>
      </c>
      <c r="M755" t="s">
        <v>39</v>
      </c>
      <c r="N755">
        <v>128</v>
      </c>
    </row>
    <row r="756" spans="1:14" x14ac:dyDescent="0.35">
      <c r="A756">
        <v>100755</v>
      </c>
      <c r="B756">
        <v>31695</v>
      </c>
      <c r="C756" t="s">
        <v>225</v>
      </c>
      <c r="D756" t="s">
        <v>15</v>
      </c>
      <c r="E756" t="s">
        <v>43</v>
      </c>
      <c r="F756" t="s">
        <v>61</v>
      </c>
      <c r="G756" t="s">
        <v>18</v>
      </c>
      <c r="H756">
        <v>16286</v>
      </c>
      <c r="I756">
        <v>10090.15</v>
      </c>
      <c r="J756">
        <v>5951.42</v>
      </c>
      <c r="K756">
        <v>6195.85</v>
      </c>
      <c r="L756">
        <v>10334.58</v>
      </c>
      <c r="M756" t="s">
        <v>39</v>
      </c>
      <c r="N756">
        <v>25</v>
      </c>
    </row>
    <row r="757" spans="1:14" x14ac:dyDescent="0.35">
      <c r="A757">
        <v>100756</v>
      </c>
      <c r="B757">
        <v>56546</v>
      </c>
      <c r="C757" t="s">
        <v>327</v>
      </c>
      <c r="D757" t="s">
        <v>65</v>
      </c>
      <c r="E757" t="s">
        <v>37</v>
      </c>
      <c r="F757" t="s">
        <v>17</v>
      </c>
      <c r="G757" t="s">
        <v>47</v>
      </c>
      <c r="H757">
        <v>7931</v>
      </c>
      <c r="I757">
        <v>5681.91</v>
      </c>
      <c r="J757">
        <v>5681.91</v>
      </c>
      <c r="K757">
        <v>2249.09</v>
      </c>
      <c r="L757">
        <v>2249.09</v>
      </c>
      <c r="M757" t="s">
        <v>19</v>
      </c>
      <c r="N757">
        <v>179</v>
      </c>
    </row>
    <row r="758" spans="1:14" x14ac:dyDescent="0.35">
      <c r="A758">
        <v>100757</v>
      </c>
      <c r="B758">
        <v>76847</v>
      </c>
      <c r="C758" t="s">
        <v>100</v>
      </c>
      <c r="D758" t="s">
        <v>15</v>
      </c>
      <c r="E758" t="s">
        <v>26</v>
      </c>
      <c r="F758" t="s">
        <v>44</v>
      </c>
      <c r="G758" t="s">
        <v>72</v>
      </c>
      <c r="H758">
        <v>13178</v>
      </c>
      <c r="I758">
        <v>10341.14</v>
      </c>
      <c r="J758">
        <v>10341.14</v>
      </c>
      <c r="K758">
        <v>2836.86</v>
      </c>
      <c r="L758">
        <v>2836.86</v>
      </c>
      <c r="M758" t="s">
        <v>19</v>
      </c>
      <c r="N758">
        <v>143</v>
      </c>
    </row>
    <row r="759" spans="1:14" x14ac:dyDescent="0.35">
      <c r="A759">
        <v>100758</v>
      </c>
      <c r="B759">
        <v>49909</v>
      </c>
      <c r="C759" t="s">
        <v>504</v>
      </c>
      <c r="D759" t="s">
        <v>30</v>
      </c>
      <c r="E759" t="s">
        <v>56</v>
      </c>
      <c r="F759" t="s">
        <v>17</v>
      </c>
      <c r="G759" t="s">
        <v>47</v>
      </c>
      <c r="H759">
        <v>13330</v>
      </c>
      <c r="I759">
        <v>12440.66</v>
      </c>
      <c r="J759">
        <v>12440.66</v>
      </c>
      <c r="K759">
        <v>889.34</v>
      </c>
      <c r="L759">
        <v>889.34</v>
      </c>
      <c r="M759" t="s">
        <v>19</v>
      </c>
      <c r="N759">
        <v>3</v>
      </c>
    </row>
    <row r="760" spans="1:14" x14ac:dyDescent="0.35">
      <c r="A760">
        <v>100759</v>
      </c>
      <c r="B760">
        <v>45916</v>
      </c>
      <c r="C760" t="s">
        <v>264</v>
      </c>
      <c r="D760" t="s">
        <v>65</v>
      </c>
      <c r="E760" t="s">
        <v>56</v>
      </c>
      <c r="F760" t="s">
        <v>35</v>
      </c>
      <c r="G760" t="s">
        <v>28</v>
      </c>
      <c r="H760">
        <v>15619</v>
      </c>
      <c r="I760">
        <v>14724.47</v>
      </c>
      <c r="J760">
        <v>12102.33</v>
      </c>
      <c r="K760">
        <v>894.53</v>
      </c>
      <c r="L760">
        <v>3516.67</v>
      </c>
      <c r="M760" t="s">
        <v>39</v>
      </c>
      <c r="N760">
        <v>4</v>
      </c>
    </row>
    <row r="761" spans="1:14" x14ac:dyDescent="0.35">
      <c r="A761">
        <v>100760</v>
      </c>
      <c r="B761">
        <v>76799</v>
      </c>
      <c r="C761" t="s">
        <v>87</v>
      </c>
      <c r="D761" t="s">
        <v>65</v>
      </c>
      <c r="E761" t="s">
        <v>22</v>
      </c>
      <c r="F761" t="s">
        <v>61</v>
      </c>
      <c r="G761" t="s">
        <v>72</v>
      </c>
      <c r="H761">
        <v>734</v>
      </c>
      <c r="I761">
        <v>696.95</v>
      </c>
      <c r="J761">
        <v>559.64</v>
      </c>
      <c r="K761">
        <v>37.049999999999997</v>
      </c>
      <c r="L761">
        <v>174.36</v>
      </c>
      <c r="M761" t="s">
        <v>39</v>
      </c>
      <c r="N761">
        <v>73</v>
      </c>
    </row>
    <row r="762" spans="1:14" x14ac:dyDescent="0.35">
      <c r="A762">
        <v>100761</v>
      </c>
      <c r="B762">
        <v>30828</v>
      </c>
      <c r="C762" t="s">
        <v>505</v>
      </c>
      <c r="D762" t="s">
        <v>15</v>
      </c>
      <c r="E762" t="s">
        <v>16</v>
      </c>
      <c r="F762" t="s">
        <v>27</v>
      </c>
      <c r="G762" t="s">
        <v>72</v>
      </c>
      <c r="H762">
        <v>20828</v>
      </c>
      <c r="I762">
        <v>16890.2</v>
      </c>
      <c r="J762">
        <v>12066.99</v>
      </c>
      <c r="K762">
        <v>3937.8</v>
      </c>
      <c r="L762">
        <v>8761.01</v>
      </c>
      <c r="M762" t="s">
        <v>39</v>
      </c>
      <c r="N762">
        <v>70</v>
      </c>
    </row>
    <row r="763" spans="1:14" x14ac:dyDescent="0.35">
      <c r="A763">
        <v>100762</v>
      </c>
      <c r="B763">
        <v>80542</v>
      </c>
      <c r="C763" t="s">
        <v>506</v>
      </c>
      <c r="D763" t="s">
        <v>15</v>
      </c>
      <c r="E763" t="s">
        <v>16</v>
      </c>
      <c r="F763" t="s">
        <v>44</v>
      </c>
      <c r="G763" t="s">
        <v>47</v>
      </c>
      <c r="H763">
        <v>16506</v>
      </c>
      <c r="I763">
        <v>9646.42</v>
      </c>
      <c r="J763">
        <v>5953</v>
      </c>
      <c r="K763">
        <v>6859.58</v>
      </c>
      <c r="L763">
        <v>10553</v>
      </c>
      <c r="M763" t="s">
        <v>39</v>
      </c>
      <c r="N763">
        <v>60</v>
      </c>
    </row>
    <row r="764" spans="1:14" x14ac:dyDescent="0.35">
      <c r="A764">
        <v>100763</v>
      </c>
      <c r="B764">
        <v>79456</v>
      </c>
      <c r="C764" t="s">
        <v>507</v>
      </c>
      <c r="D764" t="s">
        <v>65</v>
      </c>
      <c r="E764" t="s">
        <v>41</v>
      </c>
      <c r="F764" t="s">
        <v>54</v>
      </c>
      <c r="G764" t="s">
        <v>28</v>
      </c>
      <c r="H764">
        <v>5478</v>
      </c>
      <c r="I764">
        <v>4142.53</v>
      </c>
      <c r="J764">
        <v>4142.53</v>
      </c>
      <c r="K764">
        <v>1335.47</v>
      </c>
      <c r="L764">
        <v>1335.47</v>
      </c>
      <c r="M764" t="s">
        <v>19</v>
      </c>
      <c r="N764">
        <v>51</v>
      </c>
    </row>
    <row r="765" spans="1:14" x14ac:dyDescent="0.35">
      <c r="A765">
        <v>100764</v>
      </c>
      <c r="B765">
        <v>84459</v>
      </c>
      <c r="C765" t="s">
        <v>508</v>
      </c>
      <c r="D765" t="s">
        <v>49</v>
      </c>
      <c r="E765" t="s">
        <v>31</v>
      </c>
      <c r="F765" t="s">
        <v>27</v>
      </c>
      <c r="G765" t="s">
        <v>24</v>
      </c>
      <c r="H765">
        <v>13241</v>
      </c>
      <c r="I765">
        <v>8467.7000000000007</v>
      </c>
      <c r="J765">
        <v>3.08</v>
      </c>
      <c r="K765">
        <v>4773.3</v>
      </c>
      <c r="L765">
        <v>13237.92</v>
      </c>
      <c r="M765" t="s">
        <v>50</v>
      </c>
      <c r="N765">
        <v>16</v>
      </c>
    </row>
    <row r="766" spans="1:14" x14ac:dyDescent="0.35">
      <c r="A766">
        <v>100765</v>
      </c>
      <c r="B766">
        <v>34932</v>
      </c>
      <c r="C766" t="s">
        <v>293</v>
      </c>
      <c r="D766" t="s">
        <v>15</v>
      </c>
      <c r="E766" t="s">
        <v>56</v>
      </c>
      <c r="F766" t="s">
        <v>27</v>
      </c>
      <c r="G766" t="s">
        <v>72</v>
      </c>
      <c r="H766">
        <v>22955</v>
      </c>
      <c r="I766">
        <v>19138.580000000002</v>
      </c>
      <c r="J766">
        <v>19138.580000000002</v>
      </c>
      <c r="K766">
        <v>3816.42</v>
      </c>
      <c r="L766">
        <v>3816.42</v>
      </c>
      <c r="M766" t="s">
        <v>19</v>
      </c>
      <c r="N766">
        <v>104</v>
      </c>
    </row>
    <row r="767" spans="1:14" x14ac:dyDescent="0.35">
      <c r="A767">
        <v>100766</v>
      </c>
      <c r="B767">
        <v>76051</v>
      </c>
      <c r="C767" t="s">
        <v>92</v>
      </c>
      <c r="D767" t="s">
        <v>30</v>
      </c>
      <c r="E767" t="s">
        <v>22</v>
      </c>
      <c r="F767" t="s">
        <v>35</v>
      </c>
      <c r="G767" t="s">
        <v>72</v>
      </c>
      <c r="H767">
        <v>10219</v>
      </c>
      <c r="I767">
        <v>8887.8700000000008</v>
      </c>
      <c r="J767">
        <v>8887.8700000000008</v>
      </c>
      <c r="K767">
        <v>1331.13</v>
      </c>
      <c r="L767">
        <v>1331.13</v>
      </c>
      <c r="M767" t="s">
        <v>19</v>
      </c>
      <c r="N767">
        <v>24</v>
      </c>
    </row>
    <row r="768" spans="1:14" x14ac:dyDescent="0.35">
      <c r="A768">
        <v>100767</v>
      </c>
      <c r="B768">
        <v>72730</v>
      </c>
      <c r="C768" t="s">
        <v>79</v>
      </c>
      <c r="D768" t="s">
        <v>15</v>
      </c>
      <c r="E768" t="s">
        <v>41</v>
      </c>
      <c r="F768" t="s">
        <v>35</v>
      </c>
      <c r="G768" t="s">
        <v>47</v>
      </c>
      <c r="H768">
        <v>11327</v>
      </c>
      <c r="I768">
        <v>9406.75</v>
      </c>
      <c r="J768">
        <v>9406.75</v>
      </c>
      <c r="K768">
        <v>1920.25</v>
      </c>
      <c r="L768">
        <v>1920.25</v>
      </c>
      <c r="M768" t="s">
        <v>19</v>
      </c>
      <c r="N768">
        <v>152</v>
      </c>
    </row>
    <row r="769" spans="1:14" x14ac:dyDescent="0.35">
      <c r="A769">
        <v>100768</v>
      </c>
      <c r="B769">
        <v>25672</v>
      </c>
      <c r="C769" t="s">
        <v>73</v>
      </c>
      <c r="D769" t="s">
        <v>49</v>
      </c>
      <c r="E769" t="s">
        <v>37</v>
      </c>
      <c r="F769" t="s">
        <v>61</v>
      </c>
      <c r="G769" t="s">
        <v>24</v>
      </c>
      <c r="H769">
        <v>21958</v>
      </c>
      <c r="I769">
        <v>12526.54</v>
      </c>
      <c r="J769">
        <v>3117.43</v>
      </c>
      <c r="K769">
        <v>9431.4599999999991</v>
      </c>
      <c r="L769">
        <v>18840.57</v>
      </c>
      <c r="M769" t="s">
        <v>50</v>
      </c>
      <c r="N769">
        <v>34</v>
      </c>
    </row>
    <row r="770" spans="1:14" x14ac:dyDescent="0.35">
      <c r="A770">
        <v>100769</v>
      </c>
      <c r="B770">
        <v>73988</v>
      </c>
      <c r="C770" t="s">
        <v>509</v>
      </c>
      <c r="D770" t="s">
        <v>34</v>
      </c>
      <c r="E770" t="s">
        <v>26</v>
      </c>
      <c r="F770" t="s">
        <v>35</v>
      </c>
      <c r="G770" t="s">
        <v>24</v>
      </c>
      <c r="H770">
        <v>16062</v>
      </c>
      <c r="I770">
        <v>13214.89</v>
      </c>
      <c r="J770">
        <v>13214.89</v>
      </c>
      <c r="K770">
        <v>2847.11</v>
      </c>
      <c r="L770">
        <v>2847.11</v>
      </c>
      <c r="M770" t="s">
        <v>19</v>
      </c>
      <c r="N770">
        <v>20</v>
      </c>
    </row>
    <row r="771" spans="1:14" x14ac:dyDescent="0.35">
      <c r="A771">
        <v>100770</v>
      </c>
      <c r="B771">
        <v>95385</v>
      </c>
      <c r="C771" t="s">
        <v>395</v>
      </c>
      <c r="D771" t="s">
        <v>15</v>
      </c>
      <c r="E771" t="s">
        <v>22</v>
      </c>
      <c r="F771" t="s">
        <v>61</v>
      </c>
      <c r="G771" t="s">
        <v>24</v>
      </c>
      <c r="H771">
        <v>16834</v>
      </c>
      <c r="I771">
        <v>12394.29</v>
      </c>
      <c r="J771">
        <v>12394.29</v>
      </c>
      <c r="K771">
        <v>4439.71</v>
      </c>
      <c r="L771">
        <v>4439.71</v>
      </c>
      <c r="M771" t="s">
        <v>19</v>
      </c>
      <c r="N771">
        <v>155</v>
      </c>
    </row>
    <row r="772" spans="1:14" x14ac:dyDescent="0.35">
      <c r="A772">
        <v>100771</v>
      </c>
      <c r="B772">
        <v>88815</v>
      </c>
      <c r="C772" t="s">
        <v>510</v>
      </c>
      <c r="D772" t="s">
        <v>34</v>
      </c>
      <c r="E772" t="s">
        <v>56</v>
      </c>
      <c r="F772" t="s">
        <v>54</v>
      </c>
      <c r="G772" t="s">
        <v>18</v>
      </c>
      <c r="H772">
        <v>23473</v>
      </c>
      <c r="I772">
        <v>16309.86</v>
      </c>
      <c r="J772">
        <v>16309.86</v>
      </c>
      <c r="K772">
        <v>7163.14</v>
      </c>
      <c r="L772">
        <v>7163.14</v>
      </c>
      <c r="M772" t="s">
        <v>19</v>
      </c>
      <c r="N772">
        <v>137</v>
      </c>
    </row>
    <row r="773" spans="1:14" x14ac:dyDescent="0.35">
      <c r="A773">
        <v>100772</v>
      </c>
      <c r="B773">
        <v>83821</v>
      </c>
      <c r="C773" t="s">
        <v>511</v>
      </c>
      <c r="D773" t="s">
        <v>65</v>
      </c>
      <c r="E773" t="s">
        <v>37</v>
      </c>
      <c r="F773" t="s">
        <v>44</v>
      </c>
      <c r="G773" t="s">
        <v>72</v>
      </c>
      <c r="H773">
        <v>12002</v>
      </c>
      <c r="I773">
        <v>7793.85</v>
      </c>
      <c r="J773">
        <v>7793.85</v>
      </c>
      <c r="K773">
        <v>4208.1499999999996</v>
      </c>
      <c r="L773">
        <v>4208.1499999999996</v>
      </c>
      <c r="M773" t="s">
        <v>19</v>
      </c>
      <c r="N773">
        <v>100</v>
      </c>
    </row>
    <row r="774" spans="1:14" x14ac:dyDescent="0.35">
      <c r="A774">
        <v>100773</v>
      </c>
      <c r="B774">
        <v>23968</v>
      </c>
      <c r="C774" t="s">
        <v>124</v>
      </c>
      <c r="D774" t="s">
        <v>52</v>
      </c>
      <c r="E774" t="s">
        <v>22</v>
      </c>
      <c r="F774" t="s">
        <v>27</v>
      </c>
      <c r="G774" t="s">
        <v>18</v>
      </c>
      <c r="H774">
        <v>9556</v>
      </c>
      <c r="I774">
        <v>7999.46</v>
      </c>
      <c r="J774">
        <v>7999.46</v>
      </c>
      <c r="K774">
        <v>1556.54</v>
      </c>
      <c r="L774">
        <v>1556.54</v>
      </c>
      <c r="M774" t="s">
        <v>19</v>
      </c>
      <c r="N774">
        <v>109</v>
      </c>
    </row>
    <row r="775" spans="1:14" x14ac:dyDescent="0.35">
      <c r="A775">
        <v>100774</v>
      </c>
      <c r="B775">
        <v>81821</v>
      </c>
      <c r="C775" t="s">
        <v>243</v>
      </c>
      <c r="D775" t="s">
        <v>52</v>
      </c>
      <c r="E775" t="s">
        <v>22</v>
      </c>
      <c r="F775" t="s">
        <v>32</v>
      </c>
      <c r="G775" t="s">
        <v>18</v>
      </c>
      <c r="H775">
        <v>7655</v>
      </c>
      <c r="I775">
        <v>4478.07</v>
      </c>
      <c r="J775">
        <v>2411.0100000000002</v>
      </c>
      <c r="K775">
        <v>3176.93</v>
      </c>
      <c r="L775">
        <v>5243.99</v>
      </c>
      <c r="M775" t="s">
        <v>39</v>
      </c>
      <c r="N775">
        <v>61</v>
      </c>
    </row>
    <row r="776" spans="1:14" x14ac:dyDescent="0.35">
      <c r="A776">
        <v>100775</v>
      </c>
      <c r="B776">
        <v>34601</v>
      </c>
      <c r="C776" t="s">
        <v>258</v>
      </c>
      <c r="D776" t="s">
        <v>34</v>
      </c>
      <c r="E776" t="s">
        <v>37</v>
      </c>
      <c r="F776" t="s">
        <v>61</v>
      </c>
      <c r="G776" t="s">
        <v>18</v>
      </c>
      <c r="H776">
        <v>16281</v>
      </c>
      <c r="I776">
        <v>12724.26</v>
      </c>
      <c r="J776">
        <v>3754.29</v>
      </c>
      <c r="K776">
        <v>3556.74</v>
      </c>
      <c r="L776">
        <v>12526.71</v>
      </c>
      <c r="M776" t="s">
        <v>50</v>
      </c>
      <c r="N776">
        <v>149</v>
      </c>
    </row>
    <row r="777" spans="1:14" x14ac:dyDescent="0.35">
      <c r="A777">
        <v>100776</v>
      </c>
      <c r="B777">
        <v>13779</v>
      </c>
      <c r="C777" t="s">
        <v>512</v>
      </c>
      <c r="D777" t="s">
        <v>49</v>
      </c>
      <c r="E777" t="s">
        <v>16</v>
      </c>
      <c r="F777" t="s">
        <v>27</v>
      </c>
      <c r="G777" t="s">
        <v>38</v>
      </c>
      <c r="H777">
        <v>5615</v>
      </c>
      <c r="I777">
        <v>4551.28</v>
      </c>
      <c r="J777">
        <v>4551.28</v>
      </c>
      <c r="K777">
        <v>1063.72</v>
      </c>
      <c r="L777">
        <v>1063.72</v>
      </c>
      <c r="M777" t="s">
        <v>19</v>
      </c>
      <c r="N777">
        <v>112</v>
      </c>
    </row>
    <row r="778" spans="1:14" x14ac:dyDescent="0.35">
      <c r="A778">
        <v>100777</v>
      </c>
      <c r="B778">
        <v>55005</v>
      </c>
      <c r="C778" t="s">
        <v>513</v>
      </c>
      <c r="D778" t="s">
        <v>49</v>
      </c>
      <c r="E778" t="s">
        <v>31</v>
      </c>
      <c r="F778" t="s">
        <v>27</v>
      </c>
      <c r="G778" t="s">
        <v>47</v>
      </c>
      <c r="H778">
        <v>8530</v>
      </c>
      <c r="I778">
        <v>7861.07</v>
      </c>
      <c r="J778">
        <v>5918.06</v>
      </c>
      <c r="K778">
        <v>668.93</v>
      </c>
      <c r="L778">
        <v>2611.94</v>
      </c>
      <c r="M778" t="s">
        <v>39</v>
      </c>
      <c r="N778">
        <v>164</v>
      </c>
    </row>
    <row r="779" spans="1:14" x14ac:dyDescent="0.35">
      <c r="A779">
        <v>100778</v>
      </c>
      <c r="B779">
        <v>86563</v>
      </c>
      <c r="C779" t="s">
        <v>138</v>
      </c>
      <c r="D779" t="s">
        <v>30</v>
      </c>
      <c r="E779" t="s">
        <v>43</v>
      </c>
      <c r="F779" t="s">
        <v>17</v>
      </c>
      <c r="G779" t="s">
        <v>45</v>
      </c>
      <c r="H779">
        <v>16955</v>
      </c>
      <c r="I779">
        <v>14787.1</v>
      </c>
      <c r="J779">
        <v>14787.1</v>
      </c>
      <c r="K779">
        <v>2167.9</v>
      </c>
      <c r="L779">
        <v>2167.9</v>
      </c>
      <c r="M779" t="s">
        <v>19</v>
      </c>
      <c r="N779">
        <v>145</v>
      </c>
    </row>
    <row r="780" spans="1:14" x14ac:dyDescent="0.35">
      <c r="A780">
        <v>100779</v>
      </c>
      <c r="B780">
        <v>74008</v>
      </c>
      <c r="C780" t="s">
        <v>194</v>
      </c>
      <c r="D780" t="s">
        <v>30</v>
      </c>
      <c r="E780" t="s">
        <v>56</v>
      </c>
      <c r="F780" t="s">
        <v>44</v>
      </c>
      <c r="G780" t="s">
        <v>47</v>
      </c>
      <c r="H780">
        <v>23832</v>
      </c>
      <c r="I780">
        <v>16234.64</v>
      </c>
      <c r="J780">
        <v>16234.64</v>
      </c>
      <c r="K780">
        <v>7597.36</v>
      </c>
      <c r="L780">
        <v>7597.36</v>
      </c>
      <c r="M780" t="s">
        <v>19</v>
      </c>
      <c r="N780">
        <v>166</v>
      </c>
    </row>
    <row r="781" spans="1:14" x14ac:dyDescent="0.35">
      <c r="A781">
        <v>100780</v>
      </c>
      <c r="B781">
        <v>40999</v>
      </c>
      <c r="C781" t="s">
        <v>431</v>
      </c>
      <c r="D781" t="s">
        <v>21</v>
      </c>
      <c r="E781" t="s">
        <v>43</v>
      </c>
      <c r="F781" t="s">
        <v>17</v>
      </c>
      <c r="G781" t="s">
        <v>28</v>
      </c>
      <c r="H781">
        <v>2544</v>
      </c>
      <c r="I781">
        <v>2220.67</v>
      </c>
      <c r="J781">
        <v>1100.1400000000001</v>
      </c>
      <c r="K781">
        <v>323.33</v>
      </c>
      <c r="L781">
        <v>1443.86</v>
      </c>
      <c r="M781" t="s">
        <v>39</v>
      </c>
      <c r="N781">
        <v>115</v>
      </c>
    </row>
    <row r="782" spans="1:14" x14ac:dyDescent="0.35">
      <c r="A782">
        <v>100781</v>
      </c>
      <c r="B782">
        <v>89386</v>
      </c>
      <c r="C782" t="s">
        <v>514</v>
      </c>
      <c r="D782" t="s">
        <v>49</v>
      </c>
      <c r="E782" t="s">
        <v>56</v>
      </c>
      <c r="F782" t="s">
        <v>35</v>
      </c>
      <c r="G782" t="s">
        <v>24</v>
      </c>
      <c r="H782">
        <v>10042</v>
      </c>
      <c r="I782">
        <v>7229.1</v>
      </c>
      <c r="J782">
        <v>7229.1</v>
      </c>
      <c r="K782">
        <v>2812.9</v>
      </c>
      <c r="L782">
        <v>2812.9</v>
      </c>
      <c r="M782" t="s">
        <v>19</v>
      </c>
      <c r="N782">
        <v>118</v>
      </c>
    </row>
    <row r="783" spans="1:14" x14ac:dyDescent="0.35">
      <c r="A783">
        <v>100782</v>
      </c>
      <c r="B783">
        <v>49343</v>
      </c>
      <c r="C783" t="s">
        <v>434</v>
      </c>
      <c r="D783" t="s">
        <v>65</v>
      </c>
      <c r="E783" t="s">
        <v>41</v>
      </c>
      <c r="F783" t="s">
        <v>23</v>
      </c>
      <c r="G783" t="s">
        <v>72</v>
      </c>
      <c r="H783">
        <v>1365</v>
      </c>
      <c r="I783">
        <v>1153.9100000000001</v>
      </c>
      <c r="J783">
        <v>1153.9100000000001</v>
      </c>
      <c r="K783">
        <v>211.09</v>
      </c>
      <c r="L783">
        <v>211.09</v>
      </c>
      <c r="M783" t="s">
        <v>19</v>
      </c>
      <c r="N783">
        <v>134</v>
      </c>
    </row>
    <row r="784" spans="1:14" x14ac:dyDescent="0.35">
      <c r="A784">
        <v>100783</v>
      </c>
      <c r="B784">
        <v>42212</v>
      </c>
      <c r="C784" t="s">
        <v>71</v>
      </c>
      <c r="D784" t="s">
        <v>34</v>
      </c>
      <c r="E784" t="s">
        <v>56</v>
      </c>
      <c r="F784" t="s">
        <v>54</v>
      </c>
      <c r="G784" t="s">
        <v>47</v>
      </c>
      <c r="H784">
        <v>6022</v>
      </c>
      <c r="I784">
        <v>3395.43</v>
      </c>
      <c r="J784">
        <v>3395.43</v>
      </c>
      <c r="K784">
        <v>2626.57</v>
      </c>
      <c r="L784">
        <v>2626.57</v>
      </c>
      <c r="M784" t="s">
        <v>19</v>
      </c>
      <c r="N784">
        <v>114</v>
      </c>
    </row>
    <row r="785" spans="1:14" x14ac:dyDescent="0.35">
      <c r="A785">
        <v>100784</v>
      </c>
      <c r="B785">
        <v>10120</v>
      </c>
      <c r="C785" t="s">
        <v>515</v>
      </c>
      <c r="D785" t="s">
        <v>30</v>
      </c>
      <c r="E785" t="s">
        <v>43</v>
      </c>
      <c r="F785" t="s">
        <v>27</v>
      </c>
      <c r="G785" t="s">
        <v>72</v>
      </c>
      <c r="H785">
        <v>11320</v>
      </c>
      <c r="I785">
        <v>9847.75</v>
      </c>
      <c r="J785">
        <v>9847.75</v>
      </c>
      <c r="K785">
        <v>1472.25</v>
      </c>
      <c r="L785">
        <v>1472.25</v>
      </c>
      <c r="M785" t="s">
        <v>19</v>
      </c>
      <c r="N785">
        <v>50</v>
      </c>
    </row>
    <row r="786" spans="1:14" x14ac:dyDescent="0.35">
      <c r="A786">
        <v>100785</v>
      </c>
      <c r="B786">
        <v>94571</v>
      </c>
      <c r="C786" t="s">
        <v>128</v>
      </c>
      <c r="D786" t="s">
        <v>52</v>
      </c>
      <c r="E786" t="s">
        <v>43</v>
      </c>
      <c r="F786" t="s">
        <v>17</v>
      </c>
      <c r="G786" t="s">
        <v>38</v>
      </c>
      <c r="H786">
        <v>22968</v>
      </c>
      <c r="I786">
        <v>13479.75</v>
      </c>
      <c r="J786">
        <v>13479.75</v>
      </c>
      <c r="K786">
        <v>9488.25</v>
      </c>
      <c r="L786">
        <v>9488.25</v>
      </c>
      <c r="M786" t="s">
        <v>19</v>
      </c>
      <c r="N786">
        <v>94</v>
      </c>
    </row>
    <row r="787" spans="1:14" x14ac:dyDescent="0.35">
      <c r="A787">
        <v>100786</v>
      </c>
      <c r="B787">
        <v>68442</v>
      </c>
      <c r="C787" t="s">
        <v>395</v>
      </c>
      <c r="D787" t="s">
        <v>15</v>
      </c>
      <c r="E787" t="s">
        <v>56</v>
      </c>
      <c r="F787" t="s">
        <v>54</v>
      </c>
      <c r="G787" t="s">
        <v>18</v>
      </c>
      <c r="H787">
        <v>10575</v>
      </c>
      <c r="I787">
        <v>7205.37</v>
      </c>
      <c r="J787">
        <v>5684.29</v>
      </c>
      <c r="K787">
        <v>3369.63</v>
      </c>
      <c r="L787">
        <v>4890.71</v>
      </c>
      <c r="M787" t="s">
        <v>39</v>
      </c>
      <c r="N787">
        <v>120</v>
      </c>
    </row>
    <row r="788" spans="1:14" x14ac:dyDescent="0.35">
      <c r="A788">
        <v>100787</v>
      </c>
      <c r="B788">
        <v>51198</v>
      </c>
      <c r="C788" t="s">
        <v>516</v>
      </c>
      <c r="D788" t="s">
        <v>65</v>
      </c>
      <c r="E788" t="s">
        <v>26</v>
      </c>
      <c r="F788" t="s">
        <v>23</v>
      </c>
      <c r="G788" t="s">
        <v>72</v>
      </c>
      <c r="H788">
        <v>7812</v>
      </c>
      <c r="I788">
        <v>4377.51</v>
      </c>
      <c r="J788">
        <v>4377.51</v>
      </c>
      <c r="K788">
        <v>3434.49</v>
      </c>
      <c r="L788">
        <v>3434.49</v>
      </c>
      <c r="M788" t="s">
        <v>19</v>
      </c>
      <c r="N788">
        <v>119</v>
      </c>
    </row>
    <row r="789" spans="1:14" x14ac:dyDescent="0.35">
      <c r="A789">
        <v>100788</v>
      </c>
      <c r="B789">
        <v>15720</v>
      </c>
      <c r="C789" t="s">
        <v>373</v>
      </c>
      <c r="D789" t="s">
        <v>65</v>
      </c>
      <c r="E789" t="s">
        <v>31</v>
      </c>
      <c r="F789" t="s">
        <v>44</v>
      </c>
      <c r="G789" t="s">
        <v>28</v>
      </c>
      <c r="H789">
        <v>13846</v>
      </c>
      <c r="I789">
        <v>10274.459999999999</v>
      </c>
      <c r="J789">
        <v>10274.459999999999</v>
      </c>
      <c r="K789">
        <v>3571.54</v>
      </c>
      <c r="L789">
        <v>3571.54</v>
      </c>
      <c r="M789" t="s">
        <v>19</v>
      </c>
      <c r="N789">
        <v>135</v>
      </c>
    </row>
    <row r="790" spans="1:14" x14ac:dyDescent="0.35">
      <c r="A790">
        <v>100789</v>
      </c>
      <c r="B790">
        <v>52778</v>
      </c>
      <c r="C790" t="s">
        <v>517</v>
      </c>
      <c r="D790" t="s">
        <v>30</v>
      </c>
      <c r="E790" t="s">
        <v>16</v>
      </c>
      <c r="F790" t="s">
        <v>35</v>
      </c>
      <c r="G790" t="s">
        <v>45</v>
      </c>
      <c r="H790">
        <v>20384</v>
      </c>
      <c r="I790">
        <v>18329.919999999998</v>
      </c>
      <c r="J790">
        <v>18329.919999999998</v>
      </c>
      <c r="K790">
        <v>2054.08</v>
      </c>
      <c r="L790">
        <v>2054.08</v>
      </c>
      <c r="M790" t="s">
        <v>19</v>
      </c>
      <c r="N790">
        <v>23</v>
      </c>
    </row>
    <row r="791" spans="1:14" x14ac:dyDescent="0.35">
      <c r="A791">
        <v>100790</v>
      </c>
      <c r="B791">
        <v>24990</v>
      </c>
      <c r="C791" t="s">
        <v>518</v>
      </c>
      <c r="D791" t="s">
        <v>52</v>
      </c>
      <c r="E791" t="s">
        <v>31</v>
      </c>
      <c r="F791" t="s">
        <v>17</v>
      </c>
      <c r="G791" t="s">
        <v>45</v>
      </c>
      <c r="H791">
        <v>4164</v>
      </c>
      <c r="I791">
        <v>3646.37</v>
      </c>
      <c r="J791">
        <v>3646.37</v>
      </c>
      <c r="K791">
        <v>517.63</v>
      </c>
      <c r="L791">
        <v>517.63</v>
      </c>
      <c r="M791" t="s">
        <v>19</v>
      </c>
      <c r="N791">
        <v>24</v>
      </c>
    </row>
    <row r="792" spans="1:14" x14ac:dyDescent="0.35">
      <c r="A792">
        <v>100791</v>
      </c>
      <c r="B792">
        <v>87213</v>
      </c>
      <c r="C792" t="s">
        <v>379</v>
      </c>
      <c r="D792" t="s">
        <v>30</v>
      </c>
      <c r="E792" t="s">
        <v>37</v>
      </c>
      <c r="F792" t="s">
        <v>27</v>
      </c>
      <c r="G792" t="s">
        <v>72</v>
      </c>
      <c r="H792">
        <v>21164</v>
      </c>
      <c r="I792">
        <v>17018.7</v>
      </c>
      <c r="J792">
        <v>8444.39</v>
      </c>
      <c r="K792">
        <v>4145.3</v>
      </c>
      <c r="L792">
        <v>12719.61</v>
      </c>
      <c r="M792" t="s">
        <v>39</v>
      </c>
      <c r="N792">
        <v>72</v>
      </c>
    </row>
    <row r="793" spans="1:14" x14ac:dyDescent="0.35">
      <c r="A793">
        <v>100792</v>
      </c>
      <c r="B793">
        <v>91530</v>
      </c>
      <c r="C793" t="s">
        <v>379</v>
      </c>
      <c r="D793" t="s">
        <v>52</v>
      </c>
      <c r="E793" t="s">
        <v>37</v>
      </c>
      <c r="F793" t="s">
        <v>23</v>
      </c>
      <c r="G793" t="s">
        <v>18</v>
      </c>
      <c r="H793">
        <v>23414</v>
      </c>
      <c r="I793">
        <v>14367.25</v>
      </c>
      <c r="J793">
        <v>0</v>
      </c>
      <c r="K793">
        <v>9046.75</v>
      </c>
      <c r="L793">
        <v>23414</v>
      </c>
      <c r="M793" t="s">
        <v>62</v>
      </c>
      <c r="N793">
        <v>161</v>
      </c>
    </row>
    <row r="794" spans="1:14" x14ac:dyDescent="0.35">
      <c r="A794">
        <v>100793</v>
      </c>
      <c r="B794">
        <v>43422</v>
      </c>
      <c r="C794" t="s">
        <v>519</v>
      </c>
      <c r="D794" t="s">
        <v>30</v>
      </c>
      <c r="E794" t="s">
        <v>41</v>
      </c>
      <c r="F794" t="s">
        <v>32</v>
      </c>
      <c r="G794" t="s">
        <v>72</v>
      </c>
      <c r="H794">
        <v>21511</v>
      </c>
      <c r="I794">
        <v>14053.75</v>
      </c>
      <c r="J794">
        <v>0</v>
      </c>
      <c r="K794">
        <v>7457.25</v>
      </c>
      <c r="L794">
        <v>21511</v>
      </c>
      <c r="M794" t="s">
        <v>62</v>
      </c>
      <c r="N794">
        <v>42</v>
      </c>
    </row>
    <row r="795" spans="1:14" x14ac:dyDescent="0.35">
      <c r="A795">
        <v>100794</v>
      </c>
      <c r="B795">
        <v>73117</v>
      </c>
      <c r="C795" t="s">
        <v>113</v>
      </c>
      <c r="D795" t="s">
        <v>49</v>
      </c>
      <c r="E795" t="s">
        <v>43</v>
      </c>
      <c r="F795" t="s">
        <v>54</v>
      </c>
      <c r="G795" t="s">
        <v>24</v>
      </c>
      <c r="H795">
        <v>554</v>
      </c>
      <c r="I795">
        <v>525</v>
      </c>
      <c r="J795">
        <v>525</v>
      </c>
      <c r="K795">
        <v>29</v>
      </c>
      <c r="L795">
        <v>29</v>
      </c>
      <c r="M795" t="s">
        <v>19</v>
      </c>
      <c r="N795">
        <v>85</v>
      </c>
    </row>
    <row r="796" spans="1:14" x14ac:dyDescent="0.35">
      <c r="A796">
        <v>100795</v>
      </c>
      <c r="B796">
        <v>13150</v>
      </c>
      <c r="C796" t="s">
        <v>406</v>
      </c>
      <c r="D796" t="s">
        <v>34</v>
      </c>
      <c r="E796" t="s">
        <v>41</v>
      </c>
      <c r="F796" t="s">
        <v>61</v>
      </c>
      <c r="G796" t="s">
        <v>47</v>
      </c>
      <c r="H796">
        <v>12923</v>
      </c>
      <c r="I796">
        <v>9588.59</v>
      </c>
      <c r="J796">
        <v>4378.22</v>
      </c>
      <c r="K796">
        <v>3334.41</v>
      </c>
      <c r="L796">
        <v>8544.7800000000007</v>
      </c>
      <c r="M796" t="s">
        <v>39</v>
      </c>
      <c r="N796">
        <v>102</v>
      </c>
    </row>
    <row r="797" spans="1:14" x14ac:dyDescent="0.35">
      <c r="A797">
        <v>100796</v>
      </c>
      <c r="B797">
        <v>47984</v>
      </c>
      <c r="C797" t="s">
        <v>520</v>
      </c>
      <c r="D797" t="s">
        <v>30</v>
      </c>
      <c r="E797" t="s">
        <v>16</v>
      </c>
      <c r="F797" t="s">
        <v>54</v>
      </c>
      <c r="G797" t="s">
        <v>24</v>
      </c>
      <c r="H797">
        <v>6997</v>
      </c>
      <c r="I797">
        <v>6338.52</v>
      </c>
      <c r="J797">
        <v>6338.52</v>
      </c>
      <c r="K797">
        <v>658.48</v>
      </c>
      <c r="L797">
        <v>658.48</v>
      </c>
      <c r="M797" t="s">
        <v>19</v>
      </c>
      <c r="N797">
        <v>43</v>
      </c>
    </row>
    <row r="798" spans="1:14" x14ac:dyDescent="0.35">
      <c r="A798">
        <v>100797</v>
      </c>
      <c r="B798">
        <v>64843</v>
      </c>
      <c r="C798" t="s">
        <v>521</v>
      </c>
      <c r="D798" t="s">
        <v>65</v>
      </c>
      <c r="E798" t="s">
        <v>22</v>
      </c>
      <c r="F798" t="s">
        <v>23</v>
      </c>
      <c r="G798" t="s">
        <v>28</v>
      </c>
      <c r="H798">
        <v>2467</v>
      </c>
      <c r="I798">
        <v>2095.6799999999998</v>
      </c>
      <c r="J798">
        <v>2095.6799999999998</v>
      </c>
      <c r="K798">
        <v>371.32</v>
      </c>
      <c r="L798">
        <v>371.32</v>
      </c>
      <c r="M798" t="s">
        <v>19</v>
      </c>
      <c r="N798">
        <v>156</v>
      </c>
    </row>
    <row r="799" spans="1:14" x14ac:dyDescent="0.35">
      <c r="A799">
        <v>100798</v>
      </c>
      <c r="B799">
        <v>96970</v>
      </c>
      <c r="C799" t="s">
        <v>248</v>
      </c>
      <c r="D799" t="s">
        <v>49</v>
      </c>
      <c r="E799" t="s">
        <v>37</v>
      </c>
      <c r="F799" t="s">
        <v>54</v>
      </c>
      <c r="G799" t="s">
        <v>72</v>
      </c>
      <c r="H799">
        <v>19983</v>
      </c>
      <c r="I799">
        <v>18753.39</v>
      </c>
      <c r="J799">
        <v>18753.39</v>
      </c>
      <c r="K799">
        <v>1229.6099999999999</v>
      </c>
      <c r="L799">
        <v>1229.6099999999999</v>
      </c>
      <c r="M799" t="s">
        <v>19</v>
      </c>
      <c r="N799">
        <v>126</v>
      </c>
    </row>
    <row r="800" spans="1:14" x14ac:dyDescent="0.35">
      <c r="A800">
        <v>100799</v>
      </c>
      <c r="B800">
        <v>61869</v>
      </c>
      <c r="C800" t="s">
        <v>386</v>
      </c>
      <c r="D800" t="s">
        <v>49</v>
      </c>
      <c r="E800" t="s">
        <v>56</v>
      </c>
      <c r="F800" t="s">
        <v>61</v>
      </c>
      <c r="G800" t="s">
        <v>45</v>
      </c>
      <c r="H800">
        <v>12088</v>
      </c>
      <c r="I800">
        <v>7207.21</v>
      </c>
      <c r="J800">
        <v>7207.21</v>
      </c>
      <c r="K800">
        <v>4880.79</v>
      </c>
      <c r="L800">
        <v>4880.79</v>
      </c>
      <c r="M800" t="s">
        <v>19</v>
      </c>
      <c r="N800">
        <v>110</v>
      </c>
    </row>
    <row r="801" spans="1:14" x14ac:dyDescent="0.35">
      <c r="A801">
        <v>100800</v>
      </c>
      <c r="B801">
        <v>91194</v>
      </c>
      <c r="C801" t="s">
        <v>48</v>
      </c>
      <c r="D801" t="s">
        <v>15</v>
      </c>
      <c r="E801" t="s">
        <v>43</v>
      </c>
      <c r="F801" t="s">
        <v>35</v>
      </c>
      <c r="G801" t="s">
        <v>28</v>
      </c>
      <c r="H801">
        <v>7565</v>
      </c>
      <c r="I801">
        <v>6076.88</v>
      </c>
      <c r="J801">
        <v>0</v>
      </c>
      <c r="K801">
        <v>1488.12</v>
      </c>
      <c r="L801">
        <v>7565</v>
      </c>
      <c r="M801" t="s">
        <v>62</v>
      </c>
      <c r="N801">
        <v>178</v>
      </c>
    </row>
    <row r="802" spans="1:14" x14ac:dyDescent="0.35">
      <c r="A802">
        <v>100801</v>
      </c>
      <c r="B802">
        <v>81213</v>
      </c>
      <c r="C802" t="s">
        <v>522</v>
      </c>
      <c r="D802" t="s">
        <v>15</v>
      </c>
      <c r="E802" t="s">
        <v>56</v>
      </c>
      <c r="F802" t="s">
        <v>23</v>
      </c>
      <c r="G802" t="s">
        <v>38</v>
      </c>
      <c r="H802">
        <v>10815</v>
      </c>
      <c r="I802">
        <v>7912.47</v>
      </c>
      <c r="J802">
        <v>1381.77</v>
      </c>
      <c r="K802">
        <v>2902.53</v>
      </c>
      <c r="L802">
        <v>9433.23</v>
      </c>
      <c r="M802" t="s">
        <v>50</v>
      </c>
      <c r="N802">
        <v>93</v>
      </c>
    </row>
    <row r="803" spans="1:14" x14ac:dyDescent="0.35">
      <c r="A803">
        <v>100802</v>
      </c>
      <c r="B803">
        <v>58814</v>
      </c>
      <c r="C803" t="s">
        <v>523</v>
      </c>
      <c r="D803" t="s">
        <v>30</v>
      </c>
      <c r="E803" t="s">
        <v>56</v>
      </c>
      <c r="F803" t="s">
        <v>44</v>
      </c>
      <c r="G803" t="s">
        <v>18</v>
      </c>
      <c r="H803">
        <v>4688</v>
      </c>
      <c r="I803">
        <v>3190.49</v>
      </c>
      <c r="J803">
        <v>3190.49</v>
      </c>
      <c r="K803">
        <v>1497.51</v>
      </c>
      <c r="L803">
        <v>1497.51</v>
      </c>
      <c r="M803" t="s">
        <v>19</v>
      </c>
      <c r="N803">
        <v>15</v>
      </c>
    </row>
    <row r="804" spans="1:14" x14ac:dyDescent="0.35">
      <c r="A804">
        <v>100803</v>
      </c>
      <c r="B804">
        <v>35403</v>
      </c>
      <c r="C804" t="s">
        <v>288</v>
      </c>
      <c r="D804" t="s">
        <v>65</v>
      </c>
      <c r="E804" t="s">
        <v>43</v>
      </c>
      <c r="F804" t="s">
        <v>17</v>
      </c>
      <c r="G804" t="s">
        <v>72</v>
      </c>
      <c r="H804">
        <v>247</v>
      </c>
      <c r="I804">
        <v>152.09</v>
      </c>
      <c r="J804">
        <v>152.09</v>
      </c>
      <c r="K804">
        <v>94.91</v>
      </c>
      <c r="L804">
        <v>94.91</v>
      </c>
      <c r="M804" t="s">
        <v>19</v>
      </c>
      <c r="N804">
        <v>94</v>
      </c>
    </row>
    <row r="805" spans="1:14" x14ac:dyDescent="0.35">
      <c r="A805">
        <v>100804</v>
      </c>
      <c r="B805">
        <v>19206</v>
      </c>
      <c r="C805" t="s">
        <v>524</v>
      </c>
      <c r="D805" t="s">
        <v>65</v>
      </c>
      <c r="E805" t="s">
        <v>43</v>
      </c>
      <c r="F805" t="s">
        <v>32</v>
      </c>
      <c r="G805" t="s">
        <v>45</v>
      </c>
      <c r="H805">
        <v>19040</v>
      </c>
      <c r="I805">
        <v>10931.9</v>
      </c>
      <c r="J805">
        <v>0</v>
      </c>
      <c r="K805">
        <v>8108.1</v>
      </c>
      <c r="L805">
        <v>19040</v>
      </c>
      <c r="M805" t="s">
        <v>62</v>
      </c>
      <c r="N805">
        <v>5</v>
      </c>
    </row>
    <row r="806" spans="1:14" x14ac:dyDescent="0.35">
      <c r="A806">
        <v>100805</v>
      </c>
      <c r="B806">
        <v>24627</v>
      </c>
      <c r="C806" t="s">
        <v>428</v>
      </c>
      <c r="D806" t="s">
        <v>15</v>
      </c>
      <c r="E806" t="s">
        <v>31</v>
      </c>
      <c r="F806" t="s">
        <v>27</v>
      </c>
      <c r="G806" t="s">
        <v>38</v>
      </c>
      <c r="H806">
        <v>8620</v>
      </c>
      <c r="I806">
        <v>6172.64</v>
      </c>
      <c r="J806">
        <v>6172.64</v>
      </c>
      <c r="K806">
        <v>2447.36</v>
      </c>
      <c r="L806">
        <v>2447.36</v>
      </c>
      <c r="M806" t="s">
        <v>19</v>
      </c>
      <c r="N806">
        <v>60</v>
      </c>
    </row>
    <row r="807" spans="1:14" x14ac:dyDescent="0.35">
      <c r="A807">
        <v>100806</v>
      </c>
      <c r="B807">
        <v>65951</v>
      </c>
      <c r="C807" t="s">
        <v>115</v>
      </c>
      <c r="D807" t="s">
        <v>52</v>
      </c>
      <c r="E807" t="s">
        <v>26</v>
      </c>
      <c r="F807" t="s">
        <v>27</v>
      </c>
      <c r="G807" t="s">
        <v>38</v>
      </c>
      <c r="H807">
        <v>18537</v>
      </c>
      <c r="I807">
        <v>17173.62</v>
      </c>
      <c r="J807">
        <v>17173.62</v>
      </c>
      <c r="K807">
        <v>1363.38</v>
      </c>
      <c r="L807">
        <v>1363.38</v>
      </c>
      <c r="M807" t="s">
        <v>19</v>
      </c>
      <c r="N807">
        <v>157</v>
      </c>
    </row>
    <row r="808" spans="1:14" x14ac:dyDescent="0.35">
      <c r="A808">
        <v>100807</v>
      </c>
      <c r="B808">
        <v>65599</v>
      </c>
      <c r="C808" t="s">
        <v>525</v>
      </c>
      <c r="D808" t="s">
        <v>15</v>
      </c>
      <c r="E808" t="s">
        <v>22</v>
      </c>
      <c r="F808" t="s">
        <v>44</v>
      </c>
      <c r="G808" t="s">
        <v>38</v>
      </c>
      <c r="H808">
        <v>21620</v>
      </c>
      <c r="I808">
        <v>19496.27</v>
      </c>
      <c r="J808">
        <v>19496.27</v>
      </c>
      <c r="K808">
        <v>2123.73</v>
      </c>
      <c r="L808">
        <v>2123.73</v>
      </c>
      <c r="M808" t="s">
        <v>19</v>
      </c>
      <c r="N808">
        <v>124</v>
      </c>
    </row>
    <row r="809" spans="1:14" x14ac:dyDescent="0.35">
      <c r="A809">
        <v>100808</v>
      </c>
      <c r="B809">
        <v>21833</v>
      </c>
      <c r="C809" t="s">
        <v>384</v>
      </c>
      <c r="D809" t="s">
        <v>52</v>
      </c>
      <c r="E809" t="s">
        <v>26</v>
      </c>
      <c r="F809" t="s">
        <v>54</v>
      </c>
      <c r="G809" t="s">
        <v>24</v>
      </c>
      <c r="H809">
        <v>23624</v>
      </c>
      <c r="I809">
        <v>15273.35</v>
      </c>
      <c r="J809">
        <v>6161.93</v>
      </c>
      <c r="K809">
        <v>8350.65</v>
      </c>
      <c r="L809">
        <v>17462.07</v>
      </c>
      <c r="M809" t="s">
        <v>39</v>
      </c>
      <c r="N809">
        <v>66</v>
      </c>
    </row>
    <row r="810" spans="1:14" x14ac:dyDescent="0.35">
      <c r="A810">
        <v>100809</v>
      </c>
      <c r="B810">
        <v>53572</v>
      </c>
      <c r="C810" t="s">
        <v>391</v>
      </c>
      <c r="D810" t="s">
        <v>52</v>
      </c>
      <c r="E810" t="s">
        <v>37</v>
      </c>
      <c r="F810" t="s">
        <v>54</v>
      </c>
      <c r="G810" t="s">
        <v>18</v>
      </c>
      <c r="H810">
        <v>8851</v>
      </c>
      <c r="I810">
        <v>6895.39</v>
      </c>
      <c r="J810">
        <v>5865.1</v>
      </c>
      <c r="K810">
        <v>1955.61</v>
      </c>
      <c r="L810">
        <v>2985.9</v>
      </c>
      <c r="M810" t="s">
        <v>39</v>
      </c>
      <c r="N810">
        <v>107</v>
      </c>
    </row>
    <row r="811" spans="1:14" x14ac:dyDescent="0.35">
      <c r="A811">
        <v>100810</v>
      </c>
      <c r="B811">
        <v>53305</v>
      </c>
      <c r="C811" t="s">
        <v>195</v>
      </c>
      <c r="D811" t="s">
        <v>30</v>
      </c>
      <c r="E811" t="s">
        <v>56</v>
      </c>
      <c r="F811" t="s">
        <v>17</v>
      </c>
      <c r="G811" t="s">
        <v>24</v>
      </c>
      <c r="H811">
        <v>14266</v>
      </c>
      <c r="I811">
        <v>11842.49</v>
      </c>
      <c r="J811">
        <v>11842.49</v>
      </c>
      <c r="K811">
        <v>2423.5100000000002</v>
      </c>
      <c r="L811">
        <v>2423.5100000000002</v>
      </c>
      <c r="M811" t="s">
        <v>19</v>
      </c>
      <c r="N811">
        <v>0</v>
      </c>
    </row>
    <row r="812" spans="1:14" x14ac:dyDescent="0.35">
      <c r="A812">
        <v>100811</v>
      </c>
      <c r="B812">
        <v>24831</v>
      </c>
      <c r="C812" t="s">
        <v>484</v>
      </c>
      <c r="D812" t="s">
        <v>15</v>
      </c>
      <c r="E812" t="s">
        <v>43</v>
      </c>
      <c r="F812" t="s">
        <v>32</v>
      </c>
      <c r="G812" t="s">
        <v>45</v>
      </c>
      <c r="H812">
        <v>18588</v>
      </c>
      <c r="I812">
        <v>15588.89</v>
      </c>
      <c r="J812">
        <v>15588.89</v>
      </c>
      <c r="K812">
        <v>2999.11</v>
      </c>
      <c r="L812">
        <v>2999.11</v>
      </c>
      <c r="M812" t="s">
        <v>19</v>
      </c>
      <c r="N812">
        <v>14</v>
      </c>
    </row>
    <row r="813" spans="1:14" x14ac:dyDescent="0.35">
      <c r="A813">
        <v>100812</v>
      </c>
      <c r="B813">
        <v>55817</v>
      </c>
      <c r="C813" t="s">
        <v>505</v>
      </c>
      <c r="D813" t="s">
        <v>65</v>
      </c>
      <c r="E813" t="s">
        <v>41</v>
      </c>
      <c r="F813" t="s">
        <v>61</v>
      </c>
      <c r="G813" t="s">
        <v>24</v>
      </c>
      <c r="H813">
        <v>7206</v>
      </c>
      <c r="I813">
        <v>6104.19</v>
      </c>
      <c r="J813">
        <v>6104.19</v>
      </c>
      <c r="K813">
        <v>1101.81</v>
      </c>
      <c r="L813">
        <v>1101.81</v>
      </c>
      <c r="M813" t="s">
        <v>19</v>
      </c>
      <c r="N813">
        <v>79</v>
      </c>
    </row>
    <row r="814" spans="1:14" x14ac:dyDescent="0.35">
      <c r="A814">
        <v>100813</v>
      </c>
      <c r="B814">
        <v>48020</v>
      </c>
      <c r="C814" t="s">
        <v>66</v>
      </c>
      <c r="D814" t="s">
        <v>65</v>
      </c>
      <c r="E814" t="s">
        <v>26</v>
      </c>
      <c r="F814" t="s">
        <v>35</v>
      </c>
      <c r="G814" t="s">
        <v>28</v>
      </c>
      <c r="H814">
        <v>9204</v>
      </c>
      <c r="I814">
        <v>6623.38</v>
      </c>
      <c r="J814">
        <v>0</v>
      </c>
      <c r="K814">
        <v>2580.62</v>
      </c>
      <c r="L814">
        <v>9204</v>
      </c>
      <c r="M814" t="s">
        <v>62</v>
      </c>
      <c r="N814">
        <v>80</v>
      </c>
    </row>
    <row r="815" spans="1:14" x14ac:dyDescent="0.35">
      <c r="A815">
        <v>100814</v>
      </c>
      <c r="B815">
        <v>22998</v>
      </c>
      <c r="C815" t="s">
        <v>382</v>
      </c>
      <c r="D815" t="s">
        <v>34</v>
      </c>
      <c r="E815" t="s">
        <v>41</v>
      </c>
      <c r="F815" t="s">
        <v>23</v>
      </c>
      <c r="G815" t="s">
        <v>24</v>
      </c>
      <c r="H815">
        <v>16584</v>
      </c>
      <c r="I815">
        <v>13157.26</v>
      </c>
      <c r="J815">
        <v>1498.18</v>
      </c>
      <c r="K815">
        <v>3426.74</v>
      </c>
      <c r="L815">
        <v>15085.82</v>
      </c>
      <c r="M815" t="s">
        <v>50</v>
      </c>
      <c r="N815">
        <v>53</v>
      </c>
    </row>
    <row r="816" spans="1:14" x14ac:dyDescent="0.35">
      <c r="A816">
        <v>100815</v>
      </c>
      <c r="B816">
        <v>37311</v>
      </c>
      <c r="C816" t="s">
        <v>526</v>
      </c>
      <c r="D816" t="s">
        <v>15</v>
      </c>
      <c r="E816" t="s">
        <v>37</v>
      </c>
      <c r="F816" t="s">
        <v>17</v>
      </c>
      <c r="G816" t="s">
        <v>24</v>
      </c>
      <c r="H816">
        <v>22004</v>
      </c>
      <c r="I816">
        <v>19840.86</v>
      </c>
      <c r="J816">
        <v>19840.86</v>
      </c>
      <c r="K816">
        <v>2163.14</v>
      </c>
      <c r="L816">
        <v>2163.14</v>
      </c>
      <c r="M816" t="s">
        <v>19</v>
      </c>
      <c r="N816">
        <v>26</v>
      </c>
    </row>
    <row r="817" spans="1:14" x14ac:dyDescent="0.35">
      <c r="A817">
        <v>100816</v>
      </c>
      <c r="B817">
        <v>10508</v>
      </c>
      <c r="C817" t="s">
        <v>94</v>
      </c>
      <c r="D817" t="s">
        <v>65</v>
      </c>
      <c r="E817" t="s">
        <v>26</v>
      </c>
      <c r="F817" t="s">
        <v>54</v>
      </c>
      <c r="G817" t="s">
        <v>28</v>
      </c>
      <c r="H817">
        <v>15871</v>
      </c>
      <c r="I817">
        <v>12032.22</v>
      </c>
      <c r="J817">
        <v>12032.22</v>
      </c>
      <c r="K817">
        <v>3838.78</v>
      </c>
      <c r="L817">
        <v>3838.78</v>
      </c>
      <c r="M817" t="s">
        <v>19</v>
      </c>
      <c r="N817">
        <v>136</v>
      </c>
    </row>
    <row r="818" spans="1:14" x14ac:dyDescent="0.35">
      <c r="A818">
        <v>100817</v>
      </c>
      <c r="B818">
        <v>12138</v>
      </c>
      <c r="C818" t="s">
        <v>527</v>
      </c>
      <c r="D818" t="s">
        <v>30</v>
      </c>
      <c r="E818" t="s">
        <v>43</v>
      </c>
      <c r="F818" t="s">
        <v>23</v>
      </c>
      <c r="G818" t="s">
        <v>72</v>
      </c>
      <c r="H818">
        <v>5819</v>
      </c>
      <c r="I818">
        <v>3348.69</v>
      </c>
      <c r="J818">
        <v>3348.69</v>
      </c>
      <c r="K818">
        <v>2470.31</v>
      </c>
      <c r="L818">
        <v>2470.31</v>
      </c>
      <c r="M818" t="s">
        <v>19</v>
      </c>
      <c r="N818">
        <v>82</v>
      </c>
    </row>
    <row r="819" spans="1:14" x14ac:dyDescent="0.35">
      <c r="A819">
        <v>100818</v>
      </c>
      <c r="B819">
        <v>69801</v>
      </c>
      <c r="C819" t="s">
        <v>528</v>
      </c>
      <c r="D819" t="s">
        <v>30</v>
      </c>
      <c r="E819" t="s">
        <v>16</v>
      </c>
      <c r="F819" t="s">
        <v>44</v>
      </c>
      <c r="G819" t="s">
        <v>18</v>
      </c>
      <c r="H819">
        <v>11324</v>
      </c>
      <c r="I819">
        <v>10036.799999999999</v>
      </c>
      <c r="J819">
        <v>10036.799999999999</v>
      </c>
      <c r="K819">
        <v>1287.2</v>
      </c>
      <c r="L819">
        <v>1287.2</v>
      </c>
      <c r="M819" t="s">
        <v>19</v>
      </c>
      <c r="N819">
        <v>52</v>
      </c>
    </row>
    <row r="820" spans="1:14" x14ac:dyDescent="0.35">
      <c r="A820">
        <v>100819</v>
      </c>
      <c r="B820">
        <v>23344</v>
      </c>
      <c r="C820" t="s">
        <v>250</v>
      </c>
      <c r="D820" t="s">
        <v>15</v>
      </c>
      <c r="E820" t="s">
        <v>22</v>
      </c>
      <c r="F820" t="s">
        <v>54</v>
      </c>
      <c r="G820" t="s">
        <v>72</v>
      </c>
      <c r="H820">
        <v>22977</v>
      </c>
      <c r="I820">
        <v>21018.33</v>
      </c>
      <c r="J820">
        <v>21018.33</v>
      </c>
      <c r="K820">
        <v>1958.67</v>
      </c>
      <c r="L820">
        <v>1958.67</v>
      </c>
      <c r="M820" t="s">
        <v>19</v>
      </c>
      <c r="N820">
        <v>147</v>
      </c>
    </row>
    <row r="821" spans="1:14" x14ac:dyDescent="0.35">
      <c r="A821">
        <v>100820</v>
      </c>
      <c r="B821">
        <v>40238</v>
      </c>
      <c r="C821" t="s">
        <v>487</v>
      </c>
      <c r="D821" t="s">
        <v>49</v>
      </c>
      <c r="E821" t="s">
        <v>37</v>
      </c>
      <c r="F821" t="s">
        <v>23</v>
      </c>
      <c r="G821" t="s">
        <v>38</v>
      </c>
      <c r="H821">
        <v>13792</v>
      </c>
      <c r="I821">
        <v>8390.85</v>
      </c>
      <c r="J821">
        <v>0</v>
      </c>
      <c r="K821">
        <v>5401.15</v>
      </c>
      <c r="L821">
        <v>13792</v>
      </c>
      <c r="M821" t="s">
        <v>62</v>
      </c>
      <c r="N821">
        <v>14</v>
      </c>
    </row>
    <row r="822" spans="1:14" x14ac:dyDescent="0.35">
      <c r="A822">
        <v>100821</v>
      </c>
      <c r="B822">
        <v>68976</v>
      </c>
      <c r="C822" t="s">
        <v>334</v>
      </c>
      <c r="D822" t="s">
        <v>15</v>
      </c>
      <c r="E822" t="s">
        <v>43</v>
      </c>
      <c r="F822" t="s">
        <v>61</v>
      </c>
      <c r="G822" t="s">
        <v>45</v>
      </c>
      <c r="H822">
        <v>10793</v>
      </c>
      <c r="I822">
        <v>7367.87</v>
      </c>
      <c r="J822">
        <v>7367.87</v>
      </c>
      <c r="K822">
        <v>3425.13</v>
      </c>
      <c r="L822">
        <v>3425.13</v>
      </c>
      <c r="M822" t="s">
        <v>19</v>
      </c>
      <c r="N822">
        <v>143</v>
      </c>
    </row>
    <row r="823" spans="1:14" x14ac:dyDescent="0.35">
      <c r="A823">
        <v>100822</v>
      </c>
      <c r="B823">
        <v>82029</v>
      </c>
      <c r="C823" t="s">
        <v>529</v>
      </c>
      <c r="D823" t="s">
        <v>65</v>
      </c>
      <c r="E823" t="s">
        <v>56</v>
      </c>
      <c r="F823" t="s">
        <v>23</v>
      </c>
      <c r="G823" t="s">
        <v>28</v>
      </c>
      <c r="H823">
        <v>12588</v>
      </c>
      <c r="I823">
        <v>7899.11</v>
      </c>
      <c r="J823">
        <v>7899.11</v>
      </c>
      <c r="K823">
        <v>4688.8900000000003</v>
      </c>
      <c r="L823">
        <v>4688.8900000000003</v>
      </c>
      <c r="M823" t="s">
        <v>19</v>
      </c>
      <c r="N823">
        <v>27</v>
      </c>
    </row>
    <row r="824" spans="1:14" x14ac:dyDescent="0.35">
      <c r="A824">
        <v>100823</v>
      </c>
      <c r="B824">
        <v>70489</v>
      </c>
      <c r="C824" t="s">
        <v>530</v>
      </c>
      <c r="D824" t="s">
        <v>30</v>
      </c>
      <c r="E824" t="s">
        <v>43</v>
      </c>
      <c r="F824" t="s">
        <v>54</v>
      </c>
      <c r="G824" t="s">
        <v>24</v>
      </c>
      <c r="H824">
        <v>5413</v>
      </c>
      <c r="I824">
        <v>3090.82</v>
      </c>
      <c r="J824">
        <v>3090.82</v>
      </c>
      <c r="K824">
        <v>2322.1799999999998</v>
      </c>
      <c r="L824">
        <v>2322.1799999999998</v>
      </c>
      <c r="M824" t="s">
        <v>19</v>
      </c>
      <c r="N824">
        <v>107</v>
      </c>
    </row>
    <row r="825" spans="1:14" x14ac:dyDescent="0.35">
      <c r="A825">
        <v>100824</v>
      </c>
      <c r="B825">
        <v>24959</v>
      </c>
      <c r="C825" t="s">
        <v>157</v>
      </c>
      <c r="D825" t="s">
        <v>15</v>
      </c>
      <c r="E825" t="s">
        <v>26</v>
      </c>
      <c r="F825" t="s">
        <v>61</v>
      </c>
      <c r="G825" t="s">
        <v>38</v>
      </c>
      <c r="H825">
        <v>21912</v>
      </c>
      <c r="I825">
        <v>16153.66</v>
      </c>
      <c r="J825">
        <v>11239.62</v>
      </c>
      <c r="K825">
        <v>5758.34</v>
      </c>
      <c r="L825">
        <v>10672.38</v>
      </c>
      <c r="M825" t="s">
        <v>39</v>
      </c>
      <c r="N825">
        <v>155</v>
      </c>
    </row>
    <row r="826" spans="1:14" x14ac:dyDescent="0.35">
      <c r="A826">
        <v>100825</v>
      </c>
      <c r="B826">
        <v>92062</v>
      </c>
      <c r="C826" t="s">
        <v>501</v>
      </c>
      <c r="D826" t="s">
        <v>65</v>
      </c>
      <c r="E826" t="s">
        <v>41</v>
      </c>
      <c r="F826" t="s">
        <v>27</v>
      </c>
      <c r="G826" t="s">
        <v>45</v>
      </c>
      <c r="H826">
        <v>6391</v>
      </c>
      <c r="I826">
        <v>5209.93</v>
      </c>
      <c r="J826">
        <v>5209.93</v>
      </c>
      <c r="K826">
        <v>1181.07</v>
      </c>
      <c r="L826">
        <v>1181.07</v>
      </c>
      <c r="M826" t="s">
        <v>19</v>
      </c>
      <c r="N826">
        <v>105</v>
      </c>
    </row>
    <row r="827" spans="1:14" x14ac:dyDescent="0.35">
      <c r="A827">
        <v>100826</v>
      </c>
      <c r="B827">
        <v>43964</v>
      </c>
      <c r="C827" t="s">
        <v>204</v>
      </c>
      <c r="D827" t="s">
        <v>52</v>
      </c>
      <c r="E827" t="s">
        <v>56</v>
      </c>
      <c r="F827" t="s">
        <v>54</v>
      </c>
      <c r="G827" t="s">
        <v>45</v>
      </c>
      <c r="H827">
        <v>19082</v>
      </c>
      <c r="I827">
        <v>12491.94</v>
      </c>
      <c r="J827">
        <v>12491.94</v>
      </c>
      <c r="K827">
        <v>6590.06</v>
      </c>
      <c r="L827">
        <v>6590.06</v>
      </c>
      <c r="M827" t="s">
        <v>19</v>
      </c>
      <c r="N827">
        <v>136</v>
      </c>
    </row>
    <row r="828" spans="1:14" x14ac:dyDescent="0.35">
      <c r="A828">
        <v>100827</v>
      </c>
      <c r="B828">
        <v>83805</v>
      </c>
      <c r="C828" t="s">
        <v>169</v>
      </c>
      <c r="D828" t="s">
        <v>34</v>
      </c>
      <c r="E828" t="s">
        <v>22</v>
      </c>
      <c r="F828" t="s">
        <v>17</v>
      </c>
      <c r="G828" t="s">
        <v>47</v>
      </c>
      <c r="H828">
        <v>20034</v>
      </c>
      <c r="I828">
        <v>17769.63</v>
      </c>
      <c r="J828">
        <v>17769.63</v>
      </c>
      <c r="K828">
        <v>2264.37</v>
      </c>
      <c r="L828">
        <v>2264.37</v>
      </c>
      <c r="M828" t="s">
        <v>19</v>
      </c>
      <c r="N828">
        <v>121</v>
      </c>
    </row>
    <row r="829" spans="1:14" x14ac:dyDescent="0.35">
      <c r="A829">
        <v>100828</v>
      </c>
      <c r="B829">
        <v>24808</v>
      </c>
      <c r="C829" t="s">
        <v>531</v>
      </c>
      <c r="D829" t="s">
        <v>15</v>
      </c>
      <c r="E829" t="s">
        <v>37</v>
      </c>
      <c r="F829" t="s">
        <v>17</v>
      </c>
      <c r="G829" t="s">
        <v>47</v>
      </c>
      <c r="H829">
        <v>23415</v>
      </c>
      <c r="I829">
        <v>20375.939999999999</v>
      </c>
      <c r="J829">
        <v>4795.6400000000003</v>
      </c>
      <c r="K829">
        <v>3039.06</v>
      </c>
      <c r="L829">
        <v>18619.36</v>
      </c>
      <c r="M829" t="s">
        <v>50</v>
      </c>
      <c r="N829">
        <v>30</v>
      </c>
    </row>
    <row r="830" spans="1:14" x14ac:dyDescent="0.35">
      <c r="A830">
        <v>100829</v>
      </c>
      <c r="B830">
        <v>16436</v>
      </c>
      <c r="C830" t="s">
        <v>253</v>
      </c>
      <c r="D830" t="s">
        <v>21</v>
      </c>
      <c r="E830" t="s">
        <v>56</v>
      </c>
      <c r="F830" t="s">
        <v>23</v>
      </c>
      <c r="G830" t="s">
        <v>47</v>
      </c>
      <c r="H830">
        <v>17440</v>
      </c>
      <c r="I830">
        <v>11097.34</v>
      </c>
      <c r="J830">
        <v>0</v>
      </c>
      <c r="K830">
        <v>6342.66</v>
      </c>
      <c r="L830">
        <v>17440</v>
      </c>
      <c r="M830" t="s">
        <v>62</v>
      </c>
      <c r="N830">
        <v>117</v>
      </c>
    </row>
    <row r="831" spans="1:14" x14ac:dyDescent="0.35">
      <c r="A831">
        <v>100830</v>
      </c>
      <c r="B831">
        <v>23783</v>
      </c>
      <c r="C831" t="s">
        <v>532</v>
      </c>
      <c r="D831" t="s">
        <v>34</v>
      </c>
      <c r="E831" t="s">
        <v>16</v>
      </c>
      <c r="F831" t="s">
        <v>35</v>
      </c>
      <c r="G831" t="s">
        <v>72</v>
      </c>
      <c r="H831">
        <v>16554</v>
      </c>
      <c r="I831">
        <v>12841.18</v>
      </c>
      <c r="J831">
        <v>12841.18</v>
      </c>
      <c r="K831">
        <v>3712.82</v>
      </c>
      <c r="L831">
        <v>3712.82</v>
      </c>
      <c r="M831" t="s">
        <v>19</v>
      </c>
      <c r="N831">
        <v>30</v>
      </c>
    </row>
    <row r="832" spans="1:14" x14ac:dyDescent="0.35">
      <c r="A832">
        <v>100831</v>
      </c>
      <c r="B832">
        <v>79747</v>
      </c>
      <c r="C832" t="s">
        <v>254</v>
      </c>
      <c r="D832" t="s">
        <v>34</v>
      </c>
      <c r="E832" t="s">
        <v>37</v>
      </c>
      <c r="F832" t="s">
        <v>32</v>
      </c>
      <c r="G832" t="s">
        <v>72</v>
      </c>
      <c r="H832">
        <v>3193</v>
      </c>
      <c r="I832">
        <v>2007.58</v>
      </c>
      <c r="J832">
        <v>1244.45</v>
      </c>
      <c r="K832">
        <v>1185.42</v>
      </c>
      <c r="L832">
        <v>1948.55</v>
      </c>
      <c r="M832" t="s">
        <v>39</v>
      </c>
      <c r="N832">
        <v>158</v>
      </c>
    </row>
    <row r="833" spans="1:14" x14ac:dyDescent="0.35">
      <c r="A833">
        <v>100832</v>
      </c>
      <c r="B833">
        <v>51822</v>
      </c>
      <c r="C833" t="s">
        <v>533</v>
      </c>
      <c r="D833" t="s">
        <v>65</v>
      </c>
      <c r="E833" t="s">
        <v>43</v>
      </c>
      <c r="F833" t="s">
        <v>27</v>
      </c>
      <c r="G833" t="s">
        <v>72</v>
      </c>
      <c r="H833">
        <v>19104</v>
      </c>
      <c r="I833">
        <v>11514.59</v>
      </c>
      <c r="J833">
        <v>11514.59</v>
      </c>
      <c r="K833">
        <v>7589.41</v>
      </c>
      <c r="L833">
        <v>7589.41</v>
      </c>
      <c r="M833" t="s">
        <v>19</v>
      </c>
      <c r="N833">
        <v>174</v>
      </c>
    </row>
    <row r="834" spans="1:14" x14ac:dyDescent="0.35">
      <c r="A834">
        <v>100833</v>
      </c>
      <c r="B834">
        <v>14289</v>
      </c>
      <c r="C834" t="s">
        <v>534</v>
      </c>
      <c r="D834" t="s">
        <v>15</v>
      </c>
      <c r="E834" t="s">
        <v>26</v>
      </c>
      <c r="F834" t="s">
        <v>61</v>
      </c>
      <c r="G834" t="s">
        <v>38</v>
      </c>
      <c r="H834">
        <v>23224</v>
      </c>
      <c r="I834">
        <v>16587.27</v>
      </c>
      <c r="J834">
        <v>16587.27</v>
      </c>
      <c r="K834">
        <v>6636.73</v>
      </c>
      <c r="L834">
        <v>6636.73</v>
      </c>
      <c r="M834" t="s">
        <v>19</v>
      </c>
      <c r="N834">
        <v>64</v>
      </c>
    </row>
    <row r="835" spans="1:14" x14ac:dyDescent="0.35">
      <c r="A835">
        <v>100834</v>
      </c>
      <c r="B835">
        <v>89312</v>
      </c>
      <c r="C835" t="s">
        <v>70</v>
      </c>
      <c r="D835" t="s">
        <v>15</v>
      </c>
      <c r="E835" t="s">
        <v>16</v>
      </c>
      <c r="F835" t="s">
        <v>32</v>
      </c>
      <c r="G835" t="s">
        <v>38</v>
      </c>
      <c r="H835">
        <v>5951</v>
      </c>
      <c r="I835">
        <v>5018.07</v>
      </c>
      <c r="J835">
        <v>5018.07</v>
      </c>
      <c r="K835">
        <v>932.93</v>
      </c>
      <c r="L835">
        <v>932.93</v>
      </c>
      <c r="M835" t="s">
        <v>19</v>
      </c>
      <c r="N835">
        <v>88</v>
      </c>
    </row>
    <row r="836" spans="1:14" x14ac:dyDescent="0.35">
      <c r="A836">
        <v>100835</v>
      </c>
      <c r="B836">
        <v>86643</v>
      </c>
      <c r="C836" t="s">
        <v>240</v>
      </c>
      <c r="D836" t="s">
        <v>65</v>
      </c>
      <c r="E836" t="s">
        <v>22</v>
      </c>
      <c r="F836" t="s">
        <v>27</v>
      </c>
      <c r="G836" t="s">
        <v>47</v>
      </c>
      <c r="H836">
        <v>12923</v>
      </c>
      <c r="I836">
        <v>11688.48</v>
      </c>
      <c r="J836">
        <v>11688.48</v>
      </c>
      <c r="K836">
        <v>1234.52</v>
      </c>
      <c r="L836">
        <v>1234.52</v>
      </c>
      <c r="M836" t="s">
        <v>19</v>
      </c>
      <c r="N836">
        <v>176</v>
      </c>
    </row>
    <row r="837" spans="1:14" x14ac:dyDescent="0.35">
      <c r="A837">
        <v>100836</v>
      </c>
      <c r="B837">
        <v>72951</v>
      </c>
      <c r="C837" t="s">
        <v>535</v>
      </c>
      <c r="D837" t="s">
        <v>49</v>
      </c>
      <c r="E837" t="s">
        <v>43</v>
      </c>
      <c r="F837" t="s">
        <v>23</v>
      </c>
      <c r="G837" t="s">
        <v>47</v>
      </c>
      <c r="H837">
        <v>3288</v>
      </c>
      <c r="I837">
        <v>2379.0300000000002</v>
      </c>
      <c r="J837">
        <v>2379.0300000000002</v>
      </c>
      <c r="K837">
        <v>908.97</v>
      </c>
      <c r="L837">
        <v>908.97</v>
      </c>
      <c r="M837" t="s">
        <v>19</v>
      </c>
      <c r="N837">
        <v>169</v>
      </c>
    </row>
    <row r="838" spans="1:14" x14ac:dyDescent="0.35">
      <c r="A838">
        <v>100837</v>
      </c>
      <c r="B838">
        <v>96638</v>
      </c>
      <c r="C838" t="s">
        <v>536</v>
      </c>
      <c r="D838" t="s">
        <v>52</v>
      </c>
      <c r="E838" t="s">
        <v>16</v>
      </c>
      <c r="F838" t="s">
        <v>61</v>
      </c>
      <c r="G838" t="s">
        <v>38</v>
      </c>
      <c r="H838">
        <v>3248</v>
      </c>
      <c r="I838">
        <v>2572.9499999999998</v>
      </c>
      <c r="J838">
        <v>2572.9499999999998</v>
      </c>
      <c r="K838">
        <v>675.05</v>
      </c>
      <c r="L838">
        <v>675.05</v>
      </c>
      <c r="M838" t="s">
        <v>19</v>
      </c>
      <c r="N838">
        <v>3</v>
      </c>
    </row>
    <row r="839" spans="1:14" x14ac:dyDescent="0.35">
      <c r="A839">
        <v>100838</v>
      </c>
      <c r="B839">
        <v>93091</v>
      </c>
      <c r="C839" t="s">
        <v>351</v>
      </c>
      <c r="D839" t="s">
        <v>65</v>
      </c>
      <c r="E839" t="s">
        <v>37</v>
      </c>
      <c r="F839" t="s">
        <v>54</v>
      </c>
      <c r="G839" t="s">
        <v>47</v>
      </c>
      <c r="H839">
        <v>10589</v>
      </c>
      <c r="I839">
        <v>6661.17</v>
      </c>
      <c r="J839">
        <v>6661.17</v>
      </c>
      <c r="K839">
        <v>3927.83</v>
      </c>
      <c r="L839">
        <v>3927.83</v>
      </c>
      <c r="M839" t="s">
        <v>19</v>
      </c>
      <c r="N839">
        <v>1</v>
      </c>
    </row>
    <row r="840" spans="1:14" x14ac:dyDescent="0.35">
      <c r="A840">
        <v>100839</v>
      </c>
      <c r="B840">
        <v>74684</v>
      </c>
      <c r="C840" t="s">
        <v>537</v>
      </c>
      <c r="D840" t="s">
        <v>15</v>
      </c>
      <c r="E840" t="s">
        <v>56</v>
      </c>
      <c r="F840" t="s">
        <v>23</v>
      </c>
      <c r="G840" t="s">
        <v>28</v>
      </c>
      <c r="H840">
        <v>17305</v>
      </c>
      <c r="I840">
        <v>9956.44</v>
      </c>
      <c r="J840">
        <v>9956.44</v>
      </c>
      <c r="K840">
        <v>7348.56</v>
      </c>
      <c r="L840">
        <v>7348.56</v>
      </c>
      <c r="M840" t="s">
        <v>19</v>
      </c>
      <c r="N840">
        <v>94</v>
      </c>
    </row>
    <row r="841" spans="1:14" x14ac:dyDescent="0.35">
      <c r="A841">
        <v>100840</v>
      </c>
      <c r="B841">
        <v>78775</v>
      </c>
      <c r="C841" t="s">
        <v>538</v>
      </c>
      <c r="D841" t="s">
        <v>52</v>
      </c>
      <c r="E841" t="s">
        <v>26</v>
      </c>
      <c r="F841" t="s">
        <v>32</v>
      </c>
      <c r="G841" t="s">
        <v>18</v>
      </c>
      <c r="H841">
        <v>9493</v>
      </c>
      <c r="I841">
        <v>8939.19</v>
      </c>
      <c r="J841">
        <v>908.83</v>
      </c>
      <c r="K841">
        <v>553.80999999999995</v>
      </c>
      <c r="L841">
        <v>8584.17</v>
      </c>
      <c r="M841" t="s">
        <v>50</v>
      </c>
      <c r="N841">
        <v>127</v>
      </c>
    </row>
    <row r="842" spans="1:14" x14ac:dyDescent="0.35">
      <c r="A842">
        <v>100841</v>
      </c>
      <c r="B842">
        <v>61672</v>
      </c>
      <c r="C842" t="s">
        <v>539</v>
      </c>
      <c r="D842" t="s">
        <v>52</v>
      </c>
      <c r="E842" t="s">
        <v>43</v>
      </c>
      <c r="F842" t="s">
        <v>23</v>
      </c>
      <c r="G842" t="s">
        <v>72</v>
      </c>
      <c r="H842">
        <v>8049</v>
      </c>
      <c r="I842">
        <v>5748.07</v>
      </c>
      <c r="J842">
        <v>5748.07</v>
      </c>
      <c r="K842">
        <v>2300.9299999999998</v>
      </c>
      <c r="L842">
        <v>2300.9299999999998</v>
      </c>
      <c r="M842" t="s">
        <v>19</v>
      </c>
      <c r="N842">
        <v>98</v>
      </c>
    </row>
    <row r="843" spans="1:14" x14ac:dyDescent="0.35">
      <c r="A843">
        <v>100842</v>
      </c>
      <c r="B843">
        <v>56204</v>
      </c>
      <c r="C843" t="s">
        <v>326</v>
      </c>
      <c r="D843" t="s">
        <v>21</v>
      </c>
      <c r="E843" t="s">
        <v>41</v>
      </c>
      <c r="F843" t="s">
        <v>54</v>
      </c>
      <c r="G843" t="s">
        <v>18</v>
      </c>
      <c r="H843">
        <v>22627</v>
      </c>
      <c r="I843">
        <v>16776.79</v>
      </c>
      <c r="J843">
        <v>16776.79</v>
      </c>
      <c r="K843">
        <v>5850.21</v>
      </c>
      <c r="L843">
        <v>5850.21</v>
      </c>
      <c r="M843" t="s">
        <v>19</v>
      </c>
      <c r="N843">
        <v>126</v>
      </c>
    </row>
    <row r="844" spans="1:14" x14ac:dyDescent="0.35">
      <c r="A844">
        <v>100843</v>
      </c>
      <c r="B844">
        <v>11485</v>
      </c>
      <c r="C844" t="s">
        <v>540</v>
      </c>
      <c r="D844" t="s">
        <v>30</v>
      </c>
      <c r="E844" t="s">
        <v>37</v>
      </c>
      <c r="F844" t="s">
        <v>35</v>
      </c>
      <c r="G844" t="s">
        <v>38</v>
      </c>
      <c r="H844">
        <v>22034</v>
      </c>
      <c r="I844">
        <v>20634.91</v>
      </c>
      <c r="J844">
        <v>16696.439999999999</v>
      </c>
      <c r="K844">
        <v>1399.09</v>
      </c>
      <c r="L844">
        <v>5337.56</v>
      </c>
      <c r="M844" t="s">
        <v>39</v>
      </c>
      <c r="N844">
        <v>65</v>
      </c>
    </row>
    <row r="845" spans="1:14" x14ac:dyDescent="0.35">
      <c r="A845">
        <v>100844</v>
      </c>
      <c r="B845">
        <v>58805</v>
      </c>
      <c r="C845" t="s">
        <v>541</v>
      </c>
      <c r="D845" t="s">
        <v>52</v>
      </c>
      <c r="E845" t="s">
        <v>22</v>
      </c>
      <c r="F845" t="s">
        <v>17</v>
      </c>
      <c r="G845" t="s">
        <v>28</v>
      </c>
      <c r="H845">
        <v>690</v>
      </c>
      <c r="I845">
        <v>613.13</v>
      </c>
      <c r="J845">
        <v>613.13</v>
      </c>
      <c r="K845">
        <v>76.87</v>
      </c>
      <c r="L845">
        <v>76.87</v>
      </c>
      <c r="M845" t="s">
        <v>19</v>
      </c>
      <c r="N845">
        <v>153</v>
      </c>
    </row>
    <row r="846" spans="1:14" x14ac:dyDescent="0.35">
      <c r="A846">
        <v>100845</v>
      </c>
      <c r="B846">
        <v>38009</v>
      </c>
      <c r="C846" t="s">
        <v>531</v>
      </c>
      <c r="D846" t="s">
        <v>65</v>
      </c>
      <c r="E846" t="s">
        <v>41</v>
      </c>
      <c r="F846" t="s">
        <v>23</v>
      </c>
      <c r="G846" t="s">
        <v>45</v>
      </c>
      <c r="H846">
        <v>8264</v>
      </c>
      <c r="I846">
        <v>7351.16</v>
      </c>
      <c r="J846">
        <v>7351.16</v>
      </c>
      <c r="K846">
        <v>912.84</v>
      </c>
      <c r="L846">
        <v>912.84</v>
      </c>
      <c r="M846" t="s">
        <v>19</v>
      </c>
      <c r="N846">
        <v>33</v>
      </c>
    </row>
    <row r="847" spans="1:14" x14ac:dyDescent="0.35">
      <c r="A847">
        <v>100846</v>
      </c>
      <c r="B847">
        <v>78969</v>
      </c>
      <c r="C847" t="s">
        <v>217</v>
      </c>
      <c r="D847" t="s">
        <v>65</v>
      </c>
      <c r="E847" t="s">
        <v>26</v>
      </c>
      <c r="F847" t="s">
        <v>23</v>
      </c>
      <c r="G847" t="s">
        <v>18</v>
      </c>
      <c r="H847">
        <v>6838</v>
      </c>
      <c r="I847">
        <v>5619.64</v>
      </c>
      <c r="J847">
        <v>5619.64</v>
      </c>
      <c r="K847">
        <v>1218.3599999999999</v>
      </c>
      <c r="L847">
        <v>1218.3599999999999</v>
      </c>
      <c r="M847" t="s">
        <v>19</v>
      </c>
      <c r="N847">
        <v>46</v>
      </c>
    </row>
    <row r="848" spans="1:14" x14ac:dyDescent="0.35">
      <c r="A848">
        <v>100847</v>
      </c>
      <c r="B848">
        <v>26416</v>
      </c>
      <c r="C848" t="s">
        <v>496</v>
      </c>
      <c r="D848" t="s">
        <v>30</v>
      </c>
      <c r="E848" t="s">
        <v>37</v>
      </c>
      <c r="F848" t="s">
        <v>44</v>
      </c>
      <c r="G848" t="s">
        <v>24</v>
      </c>
      <c r="H848">
        <v>10260</v>
      </c>
      <c r="I848">
        <v>9510.49</v>
      </c>
      <c r="J848">
        <v>9510.49</v>
      </c>
      <c r="K848">
        <v>749.51</v>
      </c>
      <c r="L848">
        <v>749.51</v>
      </c>
      <c r="M848" t="s">
        <v>19</v>
      </c>
      <c r="N848">
        <v>46</v>
      </c>
    </row>
    <row r="849" spans="1:14" x14ac:dyDescent="0.35">
      <c r="A849">
        <v>100848</v>
      </c>
      <c r="B849">
        <v>46295</v>
      </c>
      <c r="C849" t="s">
        <v>186</v>
      </c>
      <c r="D849" t="s">
        <v>49</v>
      </c>
      <c r="E849" t="s">
        <v>31</v>
      </c>
      <c r="F849" t="s">
        <v>23</v>
      </c>
      <c r="G849" t="s">
        <v>47</v>
      </c>
      <c r="H849">
        <v>21611</v>
      </c>
      <c r="I849">
        <v>15090.65</v>
      </c>
      <c r="J849">
        <v>3354.42</v>
      </c>
      <c r="K849">
        <v>6520.35</v>
      </c>
      <c r="L849">
        <v>18256.580000000002</v>
      </c>
      <c r="M849" t="s">
        <v>50</v>
      </c>
      <c r="N849">
        <v>65</v>
      </c>
    </row>
    <row r="850" spans="1:14" x14ac:dyDescent="0.35">
      <c r="A850">
        <v>100849</v>
      </c>
      <c r="B850">
        <v>87848</v>
      </c>
      <c r="C850" t="s">
        <v>136</v>
      </c>
      <c r="D850" t="s">
        <v>30</v>
      </c>
      <c r="E850" t="s">
        <v>16</v>
      </c>
      <c r="F850" t="s">
        <v>44</v>
      </c>
      <c r="G850" t="s">
        <v>45</v>
      </c>
      <c r="H850">
        <v>21709</v>
      </c>
      <c r="I850">
        <v>14824.78</v>
      </c>
      <c r="J850">
        <v>14824.78</v>
      </c>
      <c r="K850">
        <v>6884.22</v>
      </c>
      <c r="L850">
        <v>6884.22</v>
      </c>
      <c r="M850" t="s">
        <v>19</v>
      </c>
      <c r="N850">
        <v>81</v>
      </c>
    </row>
    <row r="851" spans="1:14" x14ac:dyDescent="0.35">
      <c r="A851">
        <v>100850</v>
      </c>
      <c r="B851">
        <v>19637</v>
      </c>
      <c r="C851" t="s">
        <v>210</v>
      </c>
      <c r="D851" t="s">
        <v>52</v>
      </c>
      <c r="E851" t="s">
        <v>41</v>
      </c>
      <c r="F851" t="s">
        <v>17</v>
      </c>
      <c r="G851" t="s">
        <v>18</v>
      </c>
      <c r="H851">
        <v>23553</v>
      </c>
      <c r="I851">
        <v>15350.22</v>
      </c>
      <c r="J851">
        <v>1482.63</v>
      </c>
      <c r="K851">
        <v>8202.7800000000007</v>
      </c>
      <c r="L851">
        <v>22070.37</v>
      </c>
      <c r="M851" t="s">
        <v>50</v>
      </c>
      <c r="N851">
        <v>148</v>
      </c>
    </row>
    <row r="852" spans="1:14" x14ac:dyDescent="0.35">
      <c r="A852">
        <v>100851</v>
      </c>
      <c r="B852">
        <v>35713</v>
      </c>
      <c r="C852" t="s">
        <v>108</v>
      </c>
      <c r="D852" t="s">
        <v>49</v>
      </c>
      <c r="E852" t="s">
        <v>16</v>
      </c>
      <c r="F852" t="s">
        <v>44</v>
      </c>
      <c r="G852" t="s">
        <v>72</v>
      </c>
      <c r="H852">
        <v>9979</v>
      </c>
      <c r="I852">
        <v>6769.76</v>
      </c>
      <c r="J852">
        <v>3275.79</v>
      </c>
      <c r="K852">
        <v>3209.24</v>
      </c>
      <c r="L852">
        <v>6703.21</v>
      </c>
      <c r="M852" t="s">
        <v>39</v>
      </c>
      <c r="N852">
        <v>55</v>
      </c>
    </row>
    <row r="853" spans="1:14" x14ac:dyDescent="0.35">
      <c r="A853">
        <v>100852</v>
      </c>
      <c r="B853">
        <v>82148</v>
      </c>
      <c r="C853" t="s">
        <v>542</v>
      </c>
      <c r="D853" t="s">
        <v>49</v>
      </c>
      <c r="E853" t="s">
        <v>56</v>
      </c>
      <c r="F853" t="s">
        <v>54</v>
      </c>
      <c r="G853" t="s">
        <v>72</v>
      </c>
      <c r="H853">
        <v>7657</v>
      </c>
      <c r="I853">
        <v>4966.7700000000004</v>
      </c>
      <c r="J853">
        <v>2092.4299999999998</v>
      </c>
      <c r="K853">
        <v>2690.23</v>
      </c>
      <c r="L853">
        <v>5564.57</v>
      </c>
      <c r="M853" t="s">
        <v>39</v>
      </c>
      <c r="N853">
        <v>133</v>
      </c>
    </row>
    <row r="854" spans="1:14" x14ac:dyDescent="0.35">
      <c r="A854">
        <v>100853</v>
      </c>
      <c r="B854">
        <v>30216</v>
      </c>
      <c r="C854" t="s">
        <v>82</v>
      </c>
      <c r="D854" t="s">
        <v>52</v>
      </c>
      <c r="E854" t="s">
        <v>56</v>
      </c>
      <c r="F854" t="s">
        <v>32</v>
      </c>
      <c r="G854" t="s">
        <v>18</v>
      </c>
      <c r="H854">
        <v>3937</v>
      </c>
      <c r="I854">
        <v>3647.86</v>
      </c>
      <c r="J854">
        <v>1766.32</v>
      </c>
      <c r="K854">
        <v>289.14</v>
      </c>
      <c r="L854">
        <v>2170.6799999999998</v>
      </c>
      <c r="M854" t="s">
        <v>39</v>
      </c>
      <c r="N854">
        <v>18</v>
      </c>
    </row>
    <row r="855" spans="1:14" x14ac:dyDescent="0.35">
      <c r="A855">
        <v>100854</v>
      </c>
      <c r="B855">
        <v>51974</v>
      </c>
      <c r="C855" t="s">
        <v>543</v>
      </c>
      <c r="D855" t="s">
        <v>15</v>
      </c>
      <c r="E855" t="s">
        <v>31</v>
      </c>
      <c r="F855" t="s">
        <v>32</v>
      </c>
      <c r="G855" t="s">
        <v>47</v>
      </c>
      <c r="H855">
        <v>13303</v>
      </c>
      <c r="I855">
        <v>10338.9</v>
      </c>
      <c r="J855">
        <v>10338.9</v>
      </c>
      <c r="K855">
        <v>2964.1</v>
      </c>
      <c r="L855">
        <v>2964.1</v>
      </c>
      <c r="M855" t="s">
        <v>19</v>
      </c>
      <c r="N855">
        <v>124</v>
      </c>
    </row>
    <row r="856" spans="1:14" x14ac:dyDescent="0.35">
      <c r="A856">
        <v>100855</v>
      </c>
      <c r="B856">
        <v>30804</v>
      </c>
      <c r="C856" t="s">
        <v>544</v>
      </c>
      <c r="D856" t="s">
        <v>15</v>
      </c>
      <c r="E856" t="s">
        <v>41</v>
      </c>
      <c r="F856" t="s">
        <v>61</v>
      </c>
      <c r="G856" t="s">
        <v>45</v>
      </c>
      <c r="H856">
        <v>23209</v>
      </c>
      <c r="I856">
        <v>13310.05</v>
      </c>
      <c r="J856">
        <v>5411.1</v>
      </c>
      <c r="K856">
        <v>9898.9500000000007</v>
      </c>
      <c r="L856">
        <v>17797.900000000001</v>
      </c>
      <c r="M856" t="s">
        <v>39</v>
      </c>
      <c r="N856">
        <v>69</v>
      </c>
    </row>
    <row r="857" spans="1:14" x14ac:dyDescent="0.35">
      <c r="A857">
        <v>100856</v>
      </c>
      <c r="B857">
        <v>93761</v>
      </c>
      <c r="C857" t="s">
        <v>222</v>
      </c>
      <c r="D857" t="s">
        <v>21</v>
      </c>
      <c r="E857" t="s">
        <v>43</v>
      </c>
      <c r="F857" t="s">
        <v>54</v>
      </c>
      <c r="G857" t="s">
        <v>45</v>
      </c>
      <c r="H857">
        <v>17087</v>
      </c>
      <c r="I857">
        <v>11155.69</v>
      </c>
      <c r="J857">
        <v>11155.69</v>
      </c>
      <c r="K857">
        <v>5931.31</v>
      </c>
      <c r="L857">
        <v>5931.31</v>
      </c>
      <c r="M857" t="s">
        <v>19</v>
      </c>
      <c r="N857">
        <v>100</v>
      </c>
    </row>
    <row r="858" spans="1:14" x14ac:dyDescent="0.35">
      <c r="A858">
        <v>100857</v>
      </c>
      <c r="B858">
        <v>82814</v>
      </c>
      <c r="C858" t="s">
        <v>321</v>
      </c>
      <c r="D858" t="s">
        <v>65</v>
      </c>
      <c r="E858" t="s">
        <v>56</v>
      </c>
      <c r="F858" t="s">
        <v>61</v>
      </c>
      <c r="G858" t="s">
        <v>72</v>
      </c>
      <c r="H858">
        <v>24389</v>
      </c>
      <c r="I858">
        <v>13531.3</v>
      </c>
      <c r="J858">
        <v>9954.41</v>
      </c>
      <c r="K858">
        <v>10857.7</v>
      </c>
      <c r="L858">
        <v>14434.59</v>
      </c>
      <c r="M858" t="s">
        <v>39</v>
      </c>
      <c r="N858">
        <v>97</v>
      </c>
    </row>
    <row r="859" spans="1:14" x14ac:dyDescent="0.35">
      <c r="A859">
        <v>100858</v>
      </c>
      <c r="B859">
        <v>12187</v>
      </c>
      <c r="C859" t="s">
        <v>124</v>
      </c>
      <c r="D859" t="s">
        <v>15</v>
      </c>
      <c r="E859" t="s">
        <v>41</v>
      </c>
      <c r="F859" t="s">
        <v>32</v>
      </c>
      <c r="G859" t="s">
        <v>28</v>
      </c>
      <c r="H859">
        <v>10692</v>
      </c>
      <c r="I859">
        <v>6633.72</v>
      </c>
      <c r="J859">
        <v>5465.78</v>
      </c>
      <c r="K859">
        <v>4058.28</v>
      </c>
      <c r="L859">
        <v>5226.22</v>
      </c>
      <c r="M859" t="s">
        <v>39</v>
      </c>
      <c r="N859">
        <v>7</v>
      </c>
    </row>
    <row r="860" spans="1:14" x14ac:dyDescent="0.35">
      <c r="A860">
        <v>100859</v>
      </c>
      <c r="B860">
        <v>47802</v>
      </c>
      <c r="C860" t="s">
        <v>545</v>
      </c>
      <c r="D860" t="s">
        <v>49</v>
      </c>
      <c r="E860" t="s">
        <v>56</v>
      </c>
      <c r="F860" t="s">
        <v>27</v>
      </c>
      <c r="G860" t="s">
        <v>72</v>
      </c>
      <c r="H860">
        <v>8004</v>
      </c>
      <c r="I860">
        <v>7342.67</v>
      </c>
      <c r="J860">
        <v>7342.67</v>
      </c>
      <c r="K860">
        <v>661.33</v>
      </c>
      <c r="L860">
        <v>661.33</v>
      </c>
      <c r="M860" t="s">
        <v>19</v>
      </c>
      <c r="N860">
        <v>10</v>
      </c>
    </row>
    <row r="861" spans="1:14" x14ac:dyDescent="0.35">
      <c r="A861">
        <v>100860</v>
      </c>
      <c r="B861">
        <v>73264</v>
      </c>
      <c r="C861" t="s">
        <v>232</v>
      </c>
      <c r="D861" t="s">
        <v>34</v>
      </c>
      <c r="E861" t="s">
        <v>31</v>
      </c>
      <c r="F861" t="s">
        <v>35</v>
      </c>
      <c r="G861" t="s">
        <v>18</v>
      </c>
      <c r="H861">
        <v>15193</v>
      </c>
      <c r="I861">
        <v>11685.42</v>
      </c>
      <c r="J861">
        <v>6166.13</v>
      </c>
      <c r="K861">
        <v>3507.58</v>
      </c>
      <c r="L861">
        <v>9026.8700000000008</v>
      </c>
      <c r="M861" t="s">
        <v>39</v>
      </c>
      <c r="N861">
        <v>79</v>
      </c>
    </row>
    <row r="862" spans="1:14" x14ac:dyDescent="0.35">
      <c r="A862">
        <v>100861</v>
      </c>
      <c r="B862">
        <v>55413</v>
      </c>
      <c r="C862" t="s">
        <v>258</v>
      </c>
      <c r="D862" t="s">
        <v>15</v>
      </c>
      <c r="E862" t="s">
        <v>43</v>
      </c>
      <c r="F862" t="s">
        <v>35</v>
      </c>
      <c r="G862" t="s">
        <v>18</v>
      </c>
      <c r="H862">
        <v>23708</v>
      </c>
      <c r="I862">
        <v>19738.97</v>
      </c>
      <c r="J862">
        <v>0</v>
      </c>
      <c r="K862">
        <v>3969.03</v>
      </c>
      <c r="L862">
        <v>23708</v>
      </c>
      <c r="M862" t="s">
        <v>62</v>
      </c>
      <c r="N862">
        <v>73</v>
      </c>
    </row>
    <row r="863" spans="1:14" x14ac:dyDescent="0.35">
      <c r="A863">
        <v>100862</v>
      </c>
      <c r="B863">
        <v>96580</v>
      </c>
      <c r="C863" t="s">
        <v>546</v>
      </c>
      <c r="D863" t="s">
        <v>52</v>
      </c>
      <c r="E863" t="s">
        <v>26</v>
      </c>
      <c r="F863" t="s">
        <v>44</v>
      </c>
      <c r="G863" t="s">
        <v>28</v>
      </c>
      <c r="H863">
        <v>7243</v>
      </c>
      <c r="I863">
        <v>4845.05</v>
      </c>
      <c r="J863">
        <v>4845.05</v>
      </c>
      <c r="K863">
        <v>2397.9499999999998</v>
      </c>
      <c r="L863">
        <v>2397.9499999999998</v>
      </c>
      <c r="M863" t="s">
        <v>19</v>
      </c>
      <c r="N863">
        <v>86</v>
      </c>
    </row>
    <row r="864" spans="1:14" x14ac:dyDescent="0.35">
      <c r="A864">
        <v>100863</v>
      </c>
      <c r="B864">
        <v>42502</v>
      </c>
      <c r="C864" t="s">
        <v>510</v>
      </c>
      <c r="D864" t="s">
        <v>65</v>
      </c>
      <c r="E864" t="s">
        <v>16</v>
      </c>
      <c r="F864" t="s">
        <v>61</v>
      </c>
      <c r="G864" t="s">
        <v>47</v>
      </c>
      <c r="H864">
        <v>20186</v>
      </c>
      <c r="I864">
        <v>12872.08</v>
      </c>
      <c r="J864">
        <v>6070.02</v>
      </c>
      <c r="K864">
        <v>7313.92</v>
      </c>
      <c r="L864">
        <v>14115.98</v>
      </c>
      <c r="M864" t="s">
        <v>39</v>
      </c>
      <c r="N864">
        <v>3</v>
      </c>
    </row>
    <row r="865" spans="1:14" x14ac:dyDescent="0.35">
      <c r="A865">
        <v>100864</v>
      </c>
      <c r="B865">
        <v>63727</v>
      </c>
      <c r="C865" t="s">
        <v>547</v>
      </c>
      <c r="D865" t="s">
        <v>21</v>
      </c>
      <c r="E865" t="s">
        <v>37</v>
      </c>
      <c r="F865" t="s">
        <v>44</v>
      </c>
      <c r="G865" t="s">
        <v>28</v>
      </c>
      <c r="H865">
        <v>22509</v>
      </c>
      <c r="I865">
        <v>17057.439999999999</v>
      </c>
      <c r="J865">
        <v>9358.89</v>
      </c>
      <c r="K865">
        <v>5451.56</v>
      </c>
      <c r="L865">
        <v>13150.11</v>
      </c>
      <c r="M865" t="s">
        <v>39</v>
      </c>
      <c r="N865">
        <v>5</v>
      </c>
    </row>
    <row r="866" spans="1:14" x14ac:dyDescent="0.35">
      <c r="A866">
        <v>100865</v>
      </c>
      <c r="B866">
        <v>51513</v>
      </c>
      <c r="C866" t="s">
        <v>548</v>
      </c>
      <c r="D866" t="s">
        <v>15</v>
      </c>
      <c r="E866" t="s">
        <v>43</v>
      </c>
      <c r="F866" t="s">
        <v>17</v>
      </c>
      <c r="G866" t="s">
        <v>28</v>
      </c>
      <c r="H866">
        <v>5755</v>
      </c>
      <c r="I866">
        <v>4970.84</v>
      </c>
      <c r="J866">
        <v>4970.84</v>
      </c>
      <c r="K866">
        <v>784.16</v>
      </c>
      <c r="L866">
        <v>784.16</v>
      </c>
      <c r="M866" t="s">
        <v>19</v>
      </c>
      <c r="N866">
        <v>138</v>
      </c>
    </row>
    <row r="867" spans="1:14" x14ac:dyDescent="0.35">
      <c r="A867">
        <v>100866</v>
      </c>
      <c r="B867">
        <v>36115</v>
      </c>
      <c r="C867" t="s">
        <v>402</v>
      </c>
      <c r="D867" t="s">
        <v>49</v>
      </c>
      <c r="E867" t="s">
        <v>16</v>
      </c>
      <c r="F867" t="s">
        <v>32</v>
      </c>
      <c r="G867" t="s">
        <v>45</v>
      </c>
      <c r="H867">
        <v>23550</v>
      </c>
      <c r="I867">
        <v>19789.89</v>
      </c>
      <c r="J867">
        <v>14947.07</v>
      </c>
      <c r="K867">
        <v>3760.11</v>
      </c>
      <c r="L867">
        <v>8602.93</v>
      </c>
      <c r="M867" t="s">
        <v>39</v>
      </c>
      <c r="N867">
        <v>67</v>
      </c>
    </row>
    <row r="868" spans="1:14" x14ac:dyDescent="0.35">
      <c r="A868">
        <v>100867</v>
      </c>
      <c r="B868">
        <v>96860</v>
      </c>
      <c r="C868" t="s">
        <v>304</v>
      </c>
      <c r="D868" t="s">
        <v>52</v>
      </c>
      <c r="E868" t="s">
        <v>22</v>
      </c>
      <c r="F868" t="s">
        <v>61</v>
      </c>
      <c r="G868" t="s">
        <v>38</v>
      </c>
      <c r="H868">
        <v>21070</v>
      </c>
      <c r="I868">
        <v>16175.19</v>
      </c>
      <c r="J868">
        <v>16175.19</v>
      </c>
      <c r="K868">
        <v>4894.8100000000004</v>
      </c>
      <c r="L868">
        <v>4894.8100000000004</v>
      </c>
      <c r="M868" t="s">
        <v>19</v>
      </c>
      <c r="N868">
        <v>120</v>
      </c>
    </row>
    <row r="869" spans="1:14" x14ac:dyDescent="0.35">
      <c r="A869">
        <v>100868</v>
      </c>
      <c r="B869">
        <v>53333</v>
      </c>
      <c r="C869" t="s">
        <v>409</v>
      </c>
      <c r="D869" t="s">
        <v>34</v>
      </c>
      <c r="E869" t="s">
        <v>41</v>
      </c>
      <c r="F869" t="s">
        <v>61</v>
      </c>
      <c r="G869" t="s">
        <v>38</v>
      </c>
      <c r="H869">
        <v>2605</v>
      </c>
      <c r="I869">
        <v>1647.34</v>
      </c>
      <c r="J869">
        <v>1647.34</v>
      </c>
      <c r="K869">
        <v>957.66</v>
      </c>
      <c r="L869">
        <v>957.66</v>
      </c>
      <c r="M869" t="s">
        <v>19</v>
      </c>
      <c r="N869">
        <v>147</v>
      </c>
    </row>
    <row r="870" spans="1:14" x14ac:dyDescent="0.35">
      <c r="A870">
        <v>100869</v>
      </c>
      <c r="B870">
        <v>61921</v>
      </c>
      <c r="C870" t="s">
        <v>115</v>
      </c>
      <c r="D870" t="s">
        <v>30</v>
      </c>
      <c r="E870" t="s">
        <v>16</v>
      </c>
      <c r="F870" t="s">
        <v>27</v>
      </c>
      <c r="G870" t="s">
        <v>38</v>
      </c>
      <c r="H870">
        <v>23664</v>
      </c>
      <c r="I870">
        <v>16901.14</v>
      </c>
      <c r="J870">
        <v>16901.14</v>
      </c>
      <c r="K870">
        <v>6762.86</v>
      </c>
      <c r="L870">
        <v>6762.86</v>
      </c>
      <c r="M870" t="s">
        <v>19</v>
      </c>
      <c r="N870">
        <v>39</v>
      </c>
    </row>
    <row r="871" spans="1:14" x14ac:dyDescent="0.35">
      <c r="A871">
        <v>100870</v>
      </c>
      <c r="B871">
        <v>99716</v>
      </c>
      <c r="C871" t="s">
        <v>302</v>
      </c>
      <c r="D871" t="s">
        <v>49</v>
      </c>
      <c r="E871" t="s">
        <v>41</v>
      </c>
      <c r="F871" t="s">
        <v>54</v>
      </c>
      <c r="G871" t="s">
        <v>18</v>
      </c>
      <c r="H871">
        <v>21218</v>
      </c>
      <c r="I871">
        <v>11888.69</v>
      </c>
      <c r="J871">
        <v>11888.69</v>
      </c>
      <c r="K871">
        <v>9329.31</v>
      </c>
      <c r="L871">
        <v>9329.31</v>
      </c>
      <c r="M871" t="s">
        <v>19</v>
      </c>
      <c r="N871">
        <v>29</v>
      </c>
    </row>
    <row r="872" spans="1:14" x14ac:dyDescent="0.35">
      <c r="A872">
        <v>100871</v>
      </c>
      <c r="B872">
        <v>94791</v>
      </c>
      <c r="C872" t="s">
        <v>100</v>
      </c>
      <c r="D872" t="s">
        <v>34</v>
      </c>
      <c r="E872" t="s">
        <v>41</v>
      </c>
      <c r="F872" t="s">
        <v>23</v>
      </c>
      <c r="G872" t="s">
        <v>18</v>
      </c>
      <c r="H872">
        <v>13605</v>
      </c>
      <c r="I872">
        <v>12448.38</v>
      </c>
      <c r="J872">
        <v>12448.38</v>
      </c>
      <c r="K872">
        <v>1156.6199999999999</v>
      </c>
      <c r="L872">
        <v>1156.6199999999999</v>
      </c>
      <c r="M872" t="s">
        <v>19</v>
      </c>
      <c r="N872">
        <v>151</v>
      </c>
    </row>
    <row r="873" spans="1:14" x14ac:dyDescent="0.35">
      <c r="A873">
        <v>100872</v>
      </c>
      <c r="B873">
        <v>99576</v>
      </c>
      <c r="C873" t="s">
        <v>448</v>
      </c>
      <c r="D873" t="s">
        <v>65</v>
      </c>
      <c r="E873" t="s">
        <v>16</v>
      </c>
      <c r="F873" t="s">
        <v>44</v>
      </c>
      <c r="G873" t="s">
        <v>38</v>
      </c>
      <c r="H873">
        <v>22426</v>
      </c>
      <c r="I873">
        <v>17155.080000000002</v>
      </c>
      <c r="J873">
        <v>17155.080000000002</v>
      </c>
      <c r="K873">
        <v>5270.92</v>
      </c>
      <c r="L873">
        <v>5270.92</v>
      </c>
      <c r="M873" t="s">
        <v>19</v>
      </c>
      <c r="N873">
        <v>131</v>
      </c>
    </row>
    <row r="874" spans="1:14" x14ac:dyDescent="0.35">
      <c r="A874">
        <v>100873</v>
      </c>
      <c r="B874">
        <v>20310</v>
      </c>
      <c r="C874" t="s">
        <v>108</v>
      </c>
      <c r="D874" t="s">
        <v>15</v>
      </c>
      <c r="E874" t="s">
        <v>16</v>
      </c>
      <c r="F874" t="s">
        <v>61</v>
      </c>
      <c r="G874" t="s">
        <v>24</v>
      </c>
      <c r="H874">
        <v>19654</v>
      </c>
      <c r="I874">
        <v>16006.51</v>
      </c>
      <c r="J874">
        <v>13417.25</v>
      </c>
      <c r="K874">
        <v>3647.49</v>
      </c>
      <c r="L874">
        <v>6236.75</v>
      </c>
      <c r="M874" t="s">
        <v>39</v>
      </c>
      <c r="N874">
        <v>92</v>
      </c>
    </row>
    <row r="875" spans="1:14" x14ac:dyDescent="0.35">
      <c r="A875">
        <v>100874</v>
      </c>
      <c r="B875">
        <v>38638</v>
      </c>
      <c r="C875" t="s">
        <v>292</v>
      </c>
      <c r="D875" t="s">
        <v>21</v>
      </c>
      <c r="E875" t="s">
        <v>16</v>
      </c>
      <c r="F875" t="s">
        <v>44</v>
      </c>
      <c r="G875" t="s">
        <v>45</v>
      </c>
      <c r="H875">
        <v>12273</v>
      </c>
      <c r="I875">
        <v>8565.89</v>
      </c>
      <c r="J875">
        <v>8565.89</v>
      </c>
      <c r="K875">
        <v>3707.11</v>
      </c>
      <c r="L875">
        <v>3707.11</v>
      </c>
      <c r="M875" t="s">
        <v>19</v>
      </c>
      <c r="N875">
        <v>126</v>
      </c>
    </row>
    <row r="876" spans="1:14" x14ac:dyDescent="0.35">
      <c r="A876">
        <v>100875</v>
      </c>
      <c r="B876">
        <v>63447</v>
      </c>
      <c r="C876" t="s">
        <v>172</v>
      </c>
      <c r="D876" t="s">
        <v>65</v>
      </c>
      <c r="E876" t="s">
        <v>22</v>
      </c>
      <c r="F876" t="s">
        <v>54</v>
      </c>
      <c r="G876" t="s">
        <v>28</v>
      </c>
      <c r="H876">
        <v>22149</v>
      </c>
      <c r="I876">
        <v>16903.87</v>
      </c>
      <c r="J876">
        <v>3393.09</v>
      </c>
      <c r="K876">
        <v>5245.13</v>
      </c>
      <c r="L876">
        <v>18755.91</v>
      </c>
      <c r="M876" t="s">
        <v>50</v>
      </c>
      <c r="N876">
        <v>168</v>
      </c>
    </row>
    <row r="877" spans="1:14" x14ac:dyDescent="0.35">
      <c r="A877">
        <v>100876</v>
      </c>
      <c r="B877">
        <v>60420</v>
      </c>
      <c r="C877" t="s">
        <v>122</v>
      </c>
      <c r="D877" t="s">
        <v>49</v>
      </c>
      <c r="E877" t="s">
        <v>26</v>
      </c>
      <c r="F877" t="s">
        <v>54</v>
      </c>
      <c r="G877" t="s">
        <v>47</v>
      </c>
      <c r="H877">
        <v>2911</v>
      </c>
      <c r="I877">
        <v>1919.5</v>
      </c>
      <c r="J877">
        <v>1919.5</v>
      </c>
      <c r="K877">
        <v>991.5</v>
      </c>
      <c r="L877">
        <v>991.5</v>
      </c>
      <c r="M877" t="s">
        <v>19</v>
      </c>
      <c r="N877">
        <v>11</v>
      </c>
    </row>
    <row r="878" spans="1:14" x14ac:dyDescent="0.35">
      <c r="A878">
        <v>100877</v>
      </c>
      <c r="B878">
        <v>24840</v>
      </c>
      <c r="C878" t="s">
        <v>549</v>
      </c>
      <c r="D878" t="s">
        <v>49</v>
      </c>
      <c r="E878" t="s">
        <v>16</v>
      </c>
      <c r="F878" t="s">
        <v>27</v>
      </c>
      <c r="G878" t="s">
        <v>24</v>
      </c>
      <c r="H878">
        <v>7081</v>
      </c>
      <c r="I878">
        <v>5808.51</v>
      </c>
      <c r="J878">
        <v>5808.51</v>
      </c>
      <c r="K878">
        <v>1272.49</v>
      </c>
      <c r="L878">
        <v>1272.49</v>
      </c>
      <c r="M878" t="s">
        <v>19</v>
      </c>
      <c r="N878">
        <v>111</v>
      </c>
    </row>
    <row r="879" spans="1:14" x14ac:dyDescent="0.35">
      <c r="A879">
        <v>100878</v>
      </c>
      <c r="B879">
        <v>15319</v>
      </c>
      <c r="C879" t="s">
        <v>332</v>
      </c>
      <c r="D879" t="s">
        <v>15</v>
      </c>
      <c r="E879" t="s">
        <v>26</v>
      </c>
      <c r="F879" t="s">
        <v>61</v>
      </c>
      <c r="G879" t="s">
        <v>47</v>
      </c>
      <c r="H879">
        <v>10384</v>
      </c>
      <c r="I879">
        <v>6256.9</v>
      </c>
      <c r="J879">
        <v>3641.36</v>
      </c>
      <c r="K879">
        <v>4127.1000000000004</v>
      </c>
      <c r="L879">
        <v>6742.64</v>
      </c>
      <c r="M879" t="s">
        <v>39</v>
      </c>
      <c r="N879">
        <v>76</v>
      </c>
    </row>
    <row r="880" spans="1:14" x14ac:dyDescent="0.35">
      <c r="A880">
        <v>100879</v>
      </c>
      <c r="B880">
        <v>50838</v>
      </c>
      <c r="C880" t="s">
        <v>550</v>
      </c>
      <c r="D880" t="s">
        <v>34</v>
      </c>
      <c r="E880" t="s">
        <v>41</v>
      </c>
      <c r="F880" t="s">
        <v>23</v>
      </c>
      <c r="G880" t="s">
        <v>24</v>
      </c>
      <c r="H880">
        <v>21634</v>
      </c>
      <c r="I880">
        <v>19332.259999999998</v>
      </c>
      <c r="J880">
        <v>19332.259999999998</v>
      </c>
      <c r="K880">
        <v>2301.7399999999998</v>
      </c>
      <c r="L880">
        <v>2301.7399999999998</v>
      </c>
      <c r="M880" t="s">
        <v>19</v>
      </c>
      <c r="N880">
        <v>31</v>
      </c>
    </row>
    <row r="881" spans="1:14" x14ac:dyDescent="0.35">
      <c r="A881">
        <v>100880</v>
      </c>
      <c r="B881">
        <v>26419</v>
      </c>
      <c r="C881" t="s">
        <v>546</v>
      </c>
      <c r="D881" t="s">
        <v>34</v>
      </c>
      <c r="E881" t="s">
        <v>43</v>
      </c>
      <c r="F881" t="s">
        <v>54</v>
      </c>
      <c r="G881" t="s">
        <v>72</v>
      </c>
      <c r="H881">
        <v>18203</v>
      </c>
      <c r="I881">
        <v>11271.15</v>
      </c>
      <c r="J881">
        <v>11271.15</v>
      </c>
      <c r="K881">
        <v>6931.85</v>
      </c>
      <c r="L881">
        <v>6931.85</v>
      </c>
      <c r="M881" t="s">
        <v>19</v>
      </c>
      <c r="N881">
        <v>154</v>
      </c>
    </row>
    <row r="882" spans="1:14" x14ac:dyDescent="0.35">
      <c r="A882">
        <v>100881</v>
      </c>
      <c r="B882">
        <v>33433</v>
      </c>
      <c r="C882" t="s">
        <v>551</v>
      </c>
      <c r="D882" t="s">
        <v>15</v>
      </c>
      <c r="E882" t="s">
        <v>43</v>
      </c>
      <c r="F882" t="s">
        <v>27</v>
      </c>
      <c r="G882" t="s">
        <v>72</v>
      </c>
      <c r="H882">
        <v>6181</v>
      </c>
      <c r="I882">
        <v>4670.24</v>
      </c>
      <c r="J882">
        <v>2232.0100000000002</v>
      </c>
      <c r="K882">
        <v>1510.76</v>
      </c>
      <c r="L882">
        <v>3948.99</v>
      </c>
      <c r="M882" t="s">
        <v>39</v>
      </c>
      <c r="N882">
        <v>149</v>
      </c>
    </row>
    <row r="883" spans="1:14" x14ac:dyDescent="0.35">
      <c r="A883">
        <v>100882</v>
      </c>
      <c r="B883">
        <v>89135</v>
      </c>
      <c r="C883" t="s">
        <v>147</v>
      </c>
      <c r="D883" t="s">
        <v>34</v>
      </c>
      <c r="E883" t="s">
        <v>41</v>
      </c>
      <c r="F883" t="s">
        <v>61</v>
      </c>
      <c r="G883" t="s">
        <v>18</v>
      </c>
      <c r="H883">
        <v>15406</v>
      </c>
      <c r="I883">
        <v>11805.3</v>
      </c>
      <c r="J883">
        <v>0</v>
      </c>
      <c r="K883">
        <v>3600.7</v>
      </c>
      <c r="L883">
        <v>15406</v>
      </c>
      <c r="M883" t="s">
        <v>62</v>
      </c>
      <c r="N883">
        <v>170</v>
      </c>
    </row>
    <row r="884" spans="1:14" x14ac:dyDescent="0.35">
      <c r="A884">
        <v>100883</v>
      </c>
      <c r="B884">
        <v>56182</v>
      </c>
      <c r="C884" t="s">
        <v>123</v>
      </c>
      <c r="D884" t="s">
        <v>15</v>
      </c>
      <c r="E884" t="s">
        <v>31</v>
      </c>
      <c r="F884" t="s">
        <v>44</v>
      </c>
      <c r="G884" t="s">
        <v>28</v>
      </c>
      <c r="H884">
        <v>13417</v>
      </c>
      <c r="I884">
        <v>10291.040000000001</v>
      </c>
      <c r="J884">
        <v>10291.040000000001</v>
      </c>
      <c r="K884">
        <v>3125.96</v>
      </c>
      <c r="L884">
        <v>3125.96</v>
      </c>
      <c r="M884" t="s">
        <v>19</v>
      </c>
      <c r="N884">
        <v>64</v>
      </c>
    </row>
    <row r="885" spans="1:14" x14ac:dyDescent="0.35">
      <c r="A885">
        <v>100884</v>
      </c>
      <c r="B885">
        <v>54416</v>
      </c>
      <c r="C885" t="s">
        <v>361</v>
      </c>
      <c r="D885" t="s">
        <v>49</v>
      </c>
      <c r="E885" t="s">
        <v>26</v>
      </c>
      <c r="F885" t="s">
        <v>32</v>
      </c>
      <c r="G885" t="s">
        <v>38</v>
      </c>
      <c r="H885">
        <v>17365</v>
      </c>
      <c r="I885">
        <v>16143.02</v>
      </c>
      <c r="J885">
        <v>16143.02</v>
      </c>
      <c r="K885">
        <v>1221.98</v>
      </c>
      <c r="L885">
        <v>1221.98</v>
      </c>
      <c r="M885" t="s">
        <v>19</v>
      </c>
      <c r="N885">
        <v>90</v>
      </c>
    </row>
    <row r="886" spans="1:14" x14ac:dyDescent="0.35">
      <c r="A886">
        <v>100885</v>
      </c>
      <c r="B886">
        <v>10003</v>
      </c>
      <c r="C886" t="s">
        <v>177</v>
      </c>
      <c r="D886" t="s">
        <v>52</v>
      </c>
      <c r="E886" t="s">
        <v>26</v>
      </c>
      <c r="F886" t="s">
        <v>61</v>
      </c>
      <c r="G886" t="s">
        <v>28</v>
      </c>
      <c r="H886">
        <v>14941</v>
      </c>
      <c r="I886">
        <v>11067.43</v>
      </c>
      <c r="J886">
        <v>11067.43</v>
      </c>
      <c r="K886">
        <v>3873.57</v>
      </c>
      <c r="L886">
        <v>3873.57</v>
      </c>
      <c r="M886" t="s">
        <v>19</v>
      </c>
      <c r="N886">
        <v>108</v>
      </c>
    </row>
    <row r="887" spans="1:14" x14ac:dyDescent="0.35">
      <c r="A887">
        <v>100886</v>
      </c>
      <c r="B887">
        <v>63418</v>
      </c>
      <c r="C887" t="s">
        <v>419</v>
      </c>
      <c r="D887" t="s">
        <v>34</v>
      </c>
      <c r="E887" t="s">
        <v>43</v>
      </c>
      <c r="F887" t="s">
        <v>44</v>
      </c>
      <c r="G887" t="s">
        <v>18</v>
      </c>
      <c r="H887">
        <v>9705</v>
      </c>
      <c r="I887">
        <v>6723.81</v>
      </c>
      <c r="J887">
        <v>6723.81</v>
      </c>
      <c r="K887">
        <v>2981.19</v>
      </c>
      <c r="L887">
        <v>2981.19</v>
      </c>
      <c r="M887" t="s">
        <v>19</v>
      </c>
      <c r="N887">
        <v>138</v>
      </c>
    </row>
    <row r="888" spans="1:14" x14ac:dyDescent="0.35">
      <c r="A888">
        <v>100887</v>
      </c>
      <c r="B888">
        <v>67940</v>
      </c>
      <c r="C888" t="s">
        <v>552</v>
      </c>
      <c r="D888" t="s">
        <v>65</v>
      </c>
      <c r="E888" t="s">
        <v>31</v>
      </c>
      <c r="F888" t="s">
        <v>54</v>
      </c>
      <c r="G888" t="s">
        <v>47</v>
      </c>
      <c r="H888">
        <v>20568</v>
      </c>
      <c r="I888">
        <v>17725.39</v>
      </c>
      <c r="J888">
        <v>17725.39</v>
      </c>
      <c r="K888">
        <v>2842.61</v>
      </c>
      <c r="L888">
        <v>2842.61</v>
      </c>
      <c r="M888" t="s">
        <v>19</v>
      </c>
      <c r="N888">
        <v>95</v>
      </c>
    </row>
    <row r="889" spans="1:14" x14ac:dyDescent="0.35">
      <c r="A889">
        <v>100888</v>
      </c>
      <c r="B889">
        <v>10208</v>
      </c>
      <c r="C889" t="s">
        <v>350</v>
      </c>
      <c r="D889" t="s">
        <v>65</v>
      </c>
      <c r="E889" t="s">
        <v>22</v>
      </c>
      <c r="F889" t="s">
        <v>27</v>
      </c>
      <c r="G889" t="s">
        <v>45</v>
      </c>
      <c r="H889">
        <v>21858</v>
      </c>
      <c r="I889">
        <v>17714.439999999999</v>
      </c>
      <c r="J889">
        <v>17714.439999999999</v>
      </c>
      <c r="K889">
        <v>4143.5600000000004</v>
      </c>
      <c r="L889">
        <v>4143.5600000000004</v>
      </c>
      <c r="M889" t="s">
        <v>19</v>
      </c>
      <c r="N889">
        <v>13</v>
      </c>
    </row>
    <row r="890" spans="1:14" x14ac:dyDescent="0.35">
      <c r="A890">
        <v>100889</v>
      </c>
      <c r="B890">
        <v>93107</v>
      </c>
      <c r="C890" t="s">
        <v>553</v>
      </c>
      <c r="D890" t="s">
        <v>65</v>
      </c>
      <c r="E890" t="s">
        <v>22</v>
      </c>
      <c r="F890" t="s">
        <v>35</v>
      </c>
      <c r="G890" t="s">
        <v>47</v>
      </c>
      <c r="H890">
        <v>20050</v>
      </c>
      <c r="I890">
        <v>13494.12</v>
      </c>
      <c r="J890">
        <v>13494.12</v>
      </c>
      <c r="K890">
        <v>6555.88</v>
      </c>
      <c r="L890">
        <v>6555.88</v>
      </c>
      <c r="M890" t="s">
        <v>19</v>
      </c>
      <c r="N890">
        <v>173</v>
      </c>
    </row>
    <row r="891" spans="1:14" x14ac:dyDescent="0.35">
      <c r="A891">
        <v>100890</v>
      </c>
      <c r="B891">
        <v>74953</v>
      </c>
      <c r="C891" t="s">
        <v>206</v>
      </c>
      <c r="D891" t="s">
        <v>65</v>
      </c>
      <c r="E891" t="s">
        <v>37</v>
      </c>
      <c r="F891" t="s">
        <v>44</v>
      </c>
      <c r="G891" t="s">
        <v>47</v>
      </c>
      <c r="H891">
        <v>17149</v>
      </c>
      <c r="I891">
        <v>15174.58</v>
      </c>
      <c r="J891">
        <v>0</v>
      </c>
      <c r="K891">
        <v>1974.42</v>
      </c>
      <c r="L891">
        <v>17149</v>
      </c>
      <c r="M891" t="s">
        <v>62</v>
      </c>
      <c r="N891">
        <v>102</v>
      </c>
    </row>
    <row r="892" spans="1:14" x14ac:dyDescent="0.35">
      <c r="A892">
        <v>100891</v>
      </c>
      <c r="B892">
        <v>72511</v>
      </c>
      <c r="C892" t="s">
        <v>432</v>
      </c>
      <c r="D892" t="s">
        <v>15</v>
      </c>
      <c r="E892" t="s">
        <v>22</v>
      </c>
      <c r="F892" t="s">
        <v>27</v>
      </c>
      <c r="G892" t="s">
        <v>45</v>
      </c>
      <c r="H892">
        <v>22758</v>
      </c>
      <c r="I892">
        <v>13615.85</v>
      </c>
      <c r="J892">
        <v>13615.85</v>
      </c>
      <c r="K892">
        <v>9142.15</v>
      </c>
      <c r="L892">
        <v>9142.15</v>
      </c>
      <c r="M892" t="s">
        <v>19</v>
      </c>
      <c r="N892">
        <v>176</v>
      </c>
    </row>
    <row r="893" spans="1:14" x14ac:dyDescent="0.35">
      <c r="A893">
        <v>100892</v>
      </c>
      <c r="B893">
        <v>35940</v>
      </c>
      <c r="C893" t="s">
        <v>286</v>
      </c>
      <c r="D893" t="s">
        <v>49</v>
      </c>
      <c r="E893" t="s">
        <v>43</v>
      </c>
      <c r="F893" t="s">
        <v>32</v>
      </c>
      <c r="G893" t="s">
        <v>47</v>
      </c>
      <c r="H893">
        <v>10462</v>
      </c>
      <c r="I893">
        <v>6784.52</v>
      </c>
      <c r="J893">
        <v>621.71</v>
      </c>
      <c r="K893">
        <v>3677.48</v>
      </c>
      <c r="L893">
        <v>9840.2900000000009</v>
      </c>
      <c r="M893" t="s">
        <v>50</v>
      </c>
      <c r="N893">
        <v>148</v>
      </c>
    </row>
    <row r="894" spans="1:14" x14ac:dyDescent="0.35">
      <c r="A894">
        <v>100893</v>
      </c>
      <c r="B894">
        <v>66314</v>
      </c>
      <c r="C894" t="s">
        <v>236</v>
      </c>
      <c r="D894" t="s">
        <v>34</v>
      </c>
      <c r="E894" t="s">
        <v>16</v>
      </c>
      <c r="F894" t="s">
        <v>27</v>
      </c>
      <c r="G894" t="s">
        <v>24</v>
      </c>
      <c r="H894">
        <v>15868</v>
      </c>
      <c r="I894">
        <v>10031.43</v>
      </c>
      <c r="J894">
        <v>10031.43</v>
      </c>
      <c r="K894">
        <v>5836.57</v>
      </c>
      <c r="L894">
        <v>5836.57</v>
      </c>
      <c r="M894" t="s">
        <v>19</v>
      </c>
      <c r="N894">
        <v>58</v>
      </c>
    </row>
    <row r="895" spans="1:14" x14ac:dyDescent="0.35">
      <c r="A895">
        <v>100894</v>
      </c>
      <c r="B895">
        <v>14768</v>
      </c>
      <c r="C895" t="s">
        <v>339</v>
      </c>
      <c r="D895" t="s">
        <v>34</v>
      </c>
      <c r="E895" t="s">
        <v>31</v>
      </c>
      <c r="F895" t="s">
        <v>61</v>
      </c>
      <c r="G895" t="s">
        <v>18</v>
      </c>
      <c r="H895">
        <v>17019</v>
      </c>
      <c r="I895">
        <v>9726.16</v>
      </c>
      <c r="J895">
        <v>9726.16</v>
      </c>
      <c r="K895">
        <v>7292.84</v>
      </c>
      <c r="L895">
        <v>7292.84</v>
      </c>
      <c r="M895" t="s">
        <v>19</v>
      </c>
      <c r="N895">
        <v>79</v>
      </c>
    </row>
    <row r="896" spans="1:14" x14ac:dyDescent="0.35">
      <c r="A896">
        <v>100895</v>
      </c>
      <c r="B896">
        <v>89952</v>
      </c>
      <c r="C896" t="s">
        <v>554</v>
      </c>
      <c r="D896" t="s">
        <v>30</v>
      </c>
      <c r="E896" t="s">
        <v>37</v>
      </c>
      <c r="F896" t="s">
        <v>44</v>
      </c>
      <c r="G896" t="s">
        <v>24</v>
      </c>
      <c r="H896">
        <v>12399</v>
      </c>
      <c r="I896">
        <v>7078.35</v>
      </c>
      <c r="J896">
        <v>2987.33</v>
      </c>
      <c r="K896">
        <v>5320.65</v>
      </c>
      <c r="L896">
        <v>9411.67</v>
      </c>
      <c r="M896" t="s">
        <v>39</v>
      </c>
      <c r="N896">
        <v>155</v>
      </c>
    </row>
    <row r="897" spans="1:14" x14ac:dyDescent="0.35">
      <c r="A897">
        <v>100896</v>
      </c>
      <c r="B897">
        <v>37329</v>
      </c>
      <c r="C897" t="s">
        <v>555</v>
      </c>
      <c r="D897" t="s">
        <v>15</v>
      </c>
      <c r="E897" t="s">
        <v>31</v>
      </c>
      <c r="F897" t="s">
        <v>54</v>
      </c>
      <c r="G897" t="s">
        <v>18</v>
      </c>
      <c r="H897">
        <v>2276</v>
      </c>
      <c r="I897">
        <v>1982.15</v>
      </c>
      <c r="J897">
        <v>1173.17</v>
      </c>
      <c r="K897">
        <v>293.85000000000002</v>
      </c>
      <c r="L897">
        <v>1102.83</v>
      </c>
      <c r="M897" t="s">
        <v>39</v>
      </c>
      <c r="N897">
        <v>51</v>
      </c>
    </row>
    <row r="898" spans="1:14" x14ac:dyDescent="0.35">
      <c r="A898">
        <v>100897</v>
      </c>
      <c r="B898">
        <v>66979</v>
      </c>
      <c r="C898" t="s">
        <v>87</v>
      </c>
      <c r="D898" t="s">
        <v>21</v>
      </c>
      <c r="E898" t="s">
        <v>31</v>
      </c>
      <c r="F898" t="s">
        <v>27</v>
      </c>
      <c r="G898" t="s">
        <v>38</v>
      </c>
      <c r="H898">
        <v>11068</v>
      </c>
      <c r="I898">
        <v>9337.2000000000007</v>
      </c>
      <c r="J898">
        <v>4337.8599999999997</v>
      </c>
      <c r="K898">
        <v>1730.8</v>
      </c>
      <c r="L898">
        <v>6730.14</v>
      </c>
      <c r="M898" t="s">
        <v>39</v>
      </c>
      <c r="N898">
        <v>108</v>
      </c>
    </row>
    <row r="899" spans="1:14" x14ac:dyDescent="0.35">
      <c r="A899">
        <v>100898</v>
      </c>
      <c r="B899">
        <v>85370</v>
      </c>
      <c r="C899" t="s">
        <v>532</v>
      </c>
      <c r="D899" t="s">
        <v>15</v>
      </c>
      <c r="E899" t="s">
        <v>41</v>
      </c>
      <c r="F899" t="s">
        <v>17</v>
      </c>
      <c r="G899" t="s">
        <v>38</v>
      </c>
      <c r="H899">
        <v>10489</v>
      </c>
      <c r="I899">
        <v>6295.37</v>
      </c>
      <c r="J899">
        <v>6295.37</v>
      </c>
      <c r="K899">
        <v>4193.63</v>
      </c>
      <c r="L899">
        <v>4193.63</v>
      </c>
      <c r="M899" t="s">
        <v>19</v>
      </c>
      <c r="N899">
        <v>61</v>
      </c>
    </row>
    <row r="900" spans="1:14" x14ac:dyDescent="0.35">
      <c r="A900">
        <v>100899</v>
      </c>
      <c r="B900">
        <v>14319</v>
      </c>
      <c r="C900" t="s">
        <v>556</v>
      </c>
      <c r="D900" t="s">
        <v>52</v>
      </c>
      <c r="E900" t="s">
        <v>22</v>
      </c>
      <c r="F900" t="s">
        <v>32</v>
      </c>
      <c r="G900" t="s">
        <v>72</v>
      </c>
      <c r="H900">
        <v>23983</v>
      </c>
      <c r="I900">
        <v>21819.86</v>
      </c>
      <c r="J900">
        <v>21819.86</v>
      </c>
      <c r="K900">
        <v>2163.14</v>
      </c>
      <c r="L900">
        <v>2163.14</v>
      </c>
      <c r="M900" t="s">
        <v>19</v>
      </c>
      <c r="N900">
        <v>27</v>
      </c>
    </row>
    <row r="901" spans="1:14" x14ac:dyDescent="0.35">
      <c r="A901">
        <v>100900</v>
      </c>
      <c r="B901">
        <v>84960</v>
      </c>
      <c r="C901" t="s">
        <v>526</v>
      </c>
      <c r="D901" t="s">
        <v>34</v>
      </c>
      <c r="E901" t="s">
        <v>37</v>
      </c>
      <c r="F901" t="s">
        <v>44</v>
      </c>
      <c r="G901" t="s">
        <v>72</v>
      </c>
      <c r="H901">
        <v>20112</v>
      </c>
      <c r="I901">
        <v>11530.39</v>
      </c>
      <c r="J901">
        <v>11530.39</v>
      </c>
      <c r="K901">
        <v>8581.61</v>
      </c>
      <c r="L901">
        <v>8581.61</v>
      </c>
      <c r="M901" t="s">
        <v>19</v>
      </c>
      <c r="N901">
        <v>133</v>
      </c>
    </row>
    <row r="902" spans="1:14" x14ac:dyDescent="0.35">
      <c r="A902">
        <v>100901</v>
      </c>
      <c r="B902">
        <v>51193</v>
      </c>
      <c r="C902" t="s">
        <v>175</v>
      </c>
      <c r="D902" t="s">
        <v>15</v>
      </c>
      <c r="E902" t="s">
        <v>26</v>
      </c>
      <c r="F902" t="s">
        <v>17</v>
      </c>
      <c r="G902" t="s">
        <v>45</v>
      </c>
      <c r="H902">
        <v>22477</v>
      </c>
      <c r="I902">
        <v>16189.31</v>
      </c>
      <c r="J902">
        <v>8573.59</v>
      </c>
      <c r="K902">
        <v>6287.69</v>
      </c>
      <c r="L902">
        <v>13903.41</v>
      </c>
      <c r="M902" t="s">
        <v>39</v>
      </c>
      <c r="N902">
        <v>105</v>
      </c>
    </row>
    <row r="903" spans="1:14" x14ac:dyDescent="0.35">
      <c r="A903">
        <v>100902</v>
      </c>
      <c r="B903">
        <v>96156</v>
      </c>
      <c r="C903" t="s">
        <v>446</v>
      </c>
      <c r="D903" t="s">
        <v>15</v>
      </c>
      <c r="E903" t="s">
        <v>31</v>
      </c>
      <c r="F903" t="s">
        <v>17</v>
      </c>
      <c r="G903" t="s">
        <v>38</v>
      </c>
      <c r="H903">
        <v>20219</v>
      </c>
      <c r="I903">
        <v>17695.82</v>
      </c>
      <c r="J903">
        <v>17695.82</v>
      </c>
      <c r="K903">
        <v>2523.1799999999998</v>
      </c>
      <c r="L903">
        <v>2523.1799999999998</v>
      </c>
      <c r="M903" t="s">
        <v>19</v>
      </c>
      <c r="N903">
        <v>41</v>
      </c>
    </row>
    <row r="904" spans="1:14" x14ac:dyDescent="0.35">
      <c r="A904">
        <v>100903</v>
      </c>
      <c r="B904">
        <v>21069</v>
      </c>
      <c r="C904" t="s">
        <v>557</v>
      </c>
      <c r="D904" t="s">
        <v>49</v>
      </c>
      <c r="E904" t="s">
        <v>43</v>
      </c>
      <c r="F904" t="s">
        <v>23</v>
      </c>
      <c r="G904" t="s">
        <v>18</v>
      </c>
      <c r="H904">
        <v>2751</v>
      </c>
      <c r="I904">
        <v>2412.13</v>
      </c>
      <c r="J904">
        <v>1617.54</v>
      </c>
      <c r="K904">
        <v>338.87</v>
      </c>
      <c r="L904">
        <v>1133.46</v>
      </c>
      <c r="M904" t="s">
        <v>39</v>
      </c>
      <c r="N904">
        <v>138</v>
      </c>
    </row>
    <row r="905" spans="1:14" x14ac:dyDescent="0.35">
      <c r="A905">
        <v>100904</v>
      </c>
      <c r="B905">
        <v>62866</v>
      </c>
      <c r="C905" t="s">
        <v>307</v>
      </c>
      <c r="D905" t="s">
        <v>52</v>
      </c>
      <c r="E905" t="s">
        <v>16</v>
      </c>
      <c r="F905" t="s">
        <v>54</v>
      </c>
      <c r="G905" t="s">
        <v>45</v>
      </c>
      <c r="H905">
        <v>12222</v>
      </c>
      <c r="I905">
        <v>7492.16</v>
      </c>
      <c r="J905">
        <v>1544.91</v>
      </c>
      <c r="K905">
        <v>4729.84</v>
      </c>
      <c r="L905">
        <v>10677.09</v>
      </c>
      <c r="M905" t="s">
        <v>50</v>
      </c>
      <c r="N905">
        <v>40</v>
      </c>
    </row>
    <row r="906" spans="1:14" x14ac:dyDescent="0.35">
      <c r="A906">
        <v>100905</v>
      </c>
      <c r="B906">
        <v>26580</v>
      </c>
      <c r="C906" t="s">
        <v>279</v>
      </c>
      <c r="D906" t="s">
        <v>21</v>
      </c>
      <c r="E906" t="s">
        <v>56</v>
      </c>
      <c r="F906" t="s">
        <v>32</v>
      </c>
      <c r="G906" t="s">
        <v>24</v>
      </c>
      <c r="H906">
        <v>8209</v>
      </c>
      <c r="I906">
        <v>7216.02</v>
      </c>
      <c r="J906">
        <v>7216.02</v>
      </c>
      <c r="K906">
        <v>992.98</v>
      </c>
      <c r="L906">
        <v>992.98</v>
      </c>
      <c r="M906" t="s">
        <v>19</v>
      </c>
      <c r="N906">
        <v>176</v>
      </c>
    </row>
    <row r="907" spans="1:14" x14ac:dyDescent="0.35">
      <c r="A907">
        <v>100906</v>
      </c>
      <c r="B907">
        <v>68089</v>
      </c>
      <c r="C907" t="s">
        <v>321</v>
      </c>
      <c r="D907" t="s">
        <v>15</v>
      </c>
      <c r="E907" t="s">
        <v>31</v>
      </c>
      <c r="F907" t="s">
        <v>61</v>
      </c>
      <c r="G907" t="s">
        <v>45</v>
      </c>
      <c r="H907">
        <v>11973</v>
      </c>
      <c r="I907">
        <v>9625.83</v>
      </c>
      <c r="J907">
        <v>9625.83</v>
      </c>
      <c r="K907">
        <v>2347.17</v>
      </c>
      <c r="L907">
        <v>2347.17</v>
      </c>
      <c r="M907" t="s">
        <v>19</v>
      </c>
      <c r="N907">
        <v>165</v>
      </c>
    </row>
    <row r="908" spans="1:14" x14ac:dyDescent="0.35">
      <c r="A908">
        <v>100907</v>
      </c>
      <c r="B908">
        <v>11928</v>
      </c>
      <c r="C908" t="s">
        <v>410</v>
      </c>
      <c r="D908" t="s">
        <v>65</v>
      </c>
      <c r="E908" t="s">
        <v>43</v>
      </c>
      <c r="F908" t="s">
        <v>35</v>
      </c>
      <c r="G908" t="s">
        <v>18</v>
      </c>
      <c r="H908">
        <v>9284</v>
      </c>
      <c r="I908">
        <v>5369.93</v>
      </c>
      <c r="J908">
        <v>5369.93</v>
      </c>
      <c r="K908">
        <v>3914.07</v>
      </c>
      <c r="L908">
        <v>3914.07</v>
      </c>
      <c r="M908" t="s">
        <v>19</v>
      </c>
      <c r="N908">
        <v>51</v>
      </c>
    </row>
    <row r="909" spans="1:14" x14ac:dyDescent="0.35">
      <c r="A909">
        <v>100908</v>
      </c>
      <c r="B909">
        <v>55367</v>
      </c>
      <c r="C909" t="s">
        <v>558</v>
      </c>
      <c r="D909" t="s">
        <v>15</v>
      </c>
      <c r="E909" t="s">
        <v>26</v>
      </c>
      <c r="F909" t="s">
        <v>35</v>
      </c>
      <c r="G909" t="s">
        <v>47</v>
      </c>
      <c r="H909">
        <v>13255</v>
      </c>
      <c r="I909">
        <v>12093.34</v>
      </c>
      <c r="J909">
        <v>12093.34</v>
      </c>
      <c r="K909">
        <v>1161.6600000000001</v>
      </c>
      <c r="L909">
        <v>1161.6600000000001</v>
      </c>
      <c r="M909" t="s">
        <v>19</v>
      </c>
      <c r="N909">
        <v>146</v>
      </c>
    </row>
    <row r="910" spans="1:14" x14ac:dyDescent="0.35">
      <c r="A910">
        <v>100909</v>
      </c>
      <c r="B910">
        <v>31134</v>
      </c>
      <c r="C910" t="s">
        <v>292</v>
      </c>
      <c r="D910" t="s">
        <v>30</v>
      </c>
      <c r="E910" t="s">
        <v>31</v>
      </c>
      <c r="F910" t="s">
        <v>23</v>
      </c>
      <c r="G910" t="s">
        <v>47</v>
      </c>
      <c r="H910">
        <v>18334</v>
      </c>
      <c r="I910">
        <v>11207.19</v>
      </c>
      <c r="J910">
        <v>11207.19</v>
      </c>
      <c r="K910">
        <v>7126.81</v>
      </c>
      <c r="L910">
        <v>7126.81</v>
      </c>
      <c r="M910" t="s">
        <v>19</v>
      </c>
      <c r="N910">
        <v>148</v>
      </c>
    </row>
    <row r="911" spans="1:14" x14ac:dyDescent="0.35">
      <c r="A911">
        <v>100910</v>
      </c>
      <c r="B911">
        <v>60165</v>
      </c>
      <c r="C911" t="s">
        <v>559</v>
      </c>
      <c r="D911" t="s">
        <v>34</v>
      </c>
      <c r="E911" t="s">
        <v>16</v>
      </c>
      <c r="F911" t="s">
        <v>44</v>
      </c>
      <c r="G911" t="s">
        <v>47</v>
      </c>
      <c r="H911">
        <v>14724</v>
      </c>
      <c r="I911">
        <v>8311.5499999999993</v>
      </c>
      <c r="J911">
        <v>8311.5499999999993</v>
      </c>
      <c r="K911">
        <v>6412.45</v>
      </c>
      <c r="L911">
        <v>6412.45</v>
      </c>
      <c r="M911" t="s">
        <v>19</v>
      </c>
      <c r="N911">
        <v>65</v>
      </c>
    </row>
    <row r="912" spans="1:14" x14ac:dyDescent="0.35">
      <c r="A912">
        <v>100911</v>
      </c>
      <c r="B912">
        <v>73387</v>
      </c>
      <c r="C912" t="s">
        <v>93</v>
      </c>
      <c r="D912" t="s">
        <v>65</v>
      </c>
      <c r="E912" t="s">
        <v>43</v>
      </c>
      <c r="F912" t="s">
        <v>23</v>
      </c>
      <c r="G912" t="s">
        <v>18</v>
      </c>
      <c r="H912">
        <v>8718</v>
      </c>
      <c r="I912">
        <v>6138.12</v>
      </c>
      <c r="J912">
        <v>871.5</v>
      </c>
      <c r="K912">
        <v>2579.88</v>
      </c>
      <c r="L912">
        <v>7846.5</v>
      </c>
      <c r="M912" t="s">
        <v>50</v>
      </c>
      <c r="N912">
        <v>66</v>
      </c>
    </row>
    <row r="913" spans="1:14" x14ac:dyDescent="0.35">
      <c r="A913">
        <v>100912</v>
      </c>
      <c r="B913">
        <v>65569</v>
      </c>
      <c r="C913" t="s">
        <v>333</v>
      </c>
      <c r="D913" t="s">
        <v>30</v>
      </c>
      <c r="E913" t="s">
        <v>43</v>
      </c>
      <c r="F913" t="s">
        <v>35</v>
      </c>
      <c r="G913" t="s">
        <v>47</v>
      </c>
      <c r="H913">
        <v>20219</v>
      </c>
      <c r="I913">
        <v>15598.45</v>
      </c>
      <c r="J913">
        <v>0</v>
      </c>
      <c r="K913">
        <v>4620.55</v>
      </c>
      <c r="L913">
        <v>20219</v>
      </c>
      <c r="M913" t="s">
        <v>62</v>
      </c>
      <c r="N913">
        <v>83</v>
      </c>
    </row>
    <row r="914" spans="1:14" x14ac:dyDescent="0.35">
      <c r="A914">
        <v>100913</v>
      </c>
      <c r="B914">
        <v>86365</v>
      </c>
      <c r="C914" t="s">
        <v>560</v>
      </c>
      <c r="D914" t="s">
        <v>15</v>
      </c>
      <c r="E914" t="s">
        <v>26</v>
      </c>
      <c r="F914" t="s">
        <v>44</v>
      </c>
      <c r="G914" t="s">
        <v>47</v>
      </c>
      <c r="H914">
        <v>4518</v>
      </c>
      <c r="I914">
        <v>3013.6</v>
      </c>
      <c r="J914">
        <v>3013.6</v>
      </c>
      <c r="K914">
        <v>1504.4</v>
      </c>
      <c r="L914">
        <v>1504.4</v>
      </c>
      <c r="M914" t="s">
        <v>19</v>
      </c>
      <c r="N914">
        <v>132</v>
      </c>
    </row>
    <row r="915" spans="1:14" x14ac:dyDescent="0.35">
      <c r="A915">
        <v>100914</v>
      </c>
      <c r="B915">
        <v>78801</v>
      </c>
      <c r="C915" t="s">
        <v>561</v>
      </c>
      <c r="D915" t="s">
        <v>30</v>
      </c>
      <c r="E915" t="s">
        <v>37</v>
      </c>
      <c r="F915" t="s">
        <v>35</v>
      </c>
      <c r="G915" t="s">
        <v>72</v>
      </c>
      <c r="H915">
        <v>22357</v>
      </c>
      <c r="I915">
        <v>19446.150000000001</v>
      </c>
      <c r="J915">
        <v>2063.7199999999998</v>
      </c>
      <c r="K915">
        <v>2910.85</v>
      </c>
      <c r="L915">
        <v>20293.28</v>
      </c>
      <c r="M915" t="s">
        <v>50</v>
      </c>
      <c r="N915">
        <v>61</v>
      </c>
    </row>
    <row r="916" spans="1:14" x14ac:dyDescent="0.35">
      <c r="A916">
        <v>100915</v>
      </c>
      <c r="B916">
        <v>22384</v>
      </c>
      <c r="C916" t="s">
        <v>482</v>
      </c>
      <c r="D916" t="s">
        <v>49</v>
      </c>
      <c r="E916" t="s">
        <v>22</v>
      </c>
      <c r="F916" t="s">
        <v>27</v>
      </c>
      <c r="G916" t="s">
        <v>28</v>
      </c>
      <c r="H916">
        <v>10296</v>
      </c>
      <c r="I916">
        <v>8194.85</v>
      </c>
      <c r="J916">
        <v>8194.85</v>
      </c>
      <c r="K916">
        <v>2101.15</v>
      </c>
      <c r="L916">
        <v>2101.15</v>
      </c>
      <c r="M916" t="s">
        <v>19</v>
      </c>
      <c r="N916">
        <v>126</v>
      </c>
    </row>
    <row r="917" spans="1:14" x14ac:dyDescent="0.35">
      <c r="A917">
        <v>100916</v>
      </c>
      <c r="B917">
        <v>36696</v>
      </c>
      <c r="C917" t="s">
        <v>51</v>
      </c>
      <c r="D917" t="s">
        <v>52</v>
      </c>
      <c r="E917" t="s">
        <v>26</v>
      </c>
      <c r="F917" t="s">
        <v>61</v>
      </c>
      <c r="G917" t="s">
        <v>28</v>
      </c>
      <c r="H917">
        <v>24278</v>
      </c>
      <c r="I917">
        <v>19406.88</v>
      </c>
      <c r="J917">
        <v>10567.2</v>
      </c>
      <c r="K917">
        <v>4871.12</v>
      </c>
      <c r="L917">
        <v>13710.8</v>
      </c>
      <c r="M917" t="s">
        <v>39</v>
      </c>
      <c r="N917">
        <v>164</v>
      </c>
    </row>
    <row r="918" spans="1:14" x14ac:dyDescent="0.35">
      <c r="A918">
        <v>100917</v>
      </c>
      <c r="B918">
        <v>93636</v>
      </c>
      <c r="C918" t="s">
        <v>562</v>
      </c>
      <c r="D918" t="s">
        <v>15</v>
      </c>
      <c r="E918" t="s">
        <v>26</v>
      </c>
      <c r="F918" t="s">
        <v>61</v>
      </c>
      <c r="G918" t="s">
        <v>47</v>
      </c>
      <c r="H918">
        <v>10299</v>
      </c>
      <c r="I918">
        <v>8848.9699999999993</v>
      </c>
      <c r="J918">
        <v>955.37</v>
      </c>
      <c r="K918">
        <v>1450.03</v>
      </c>
      <c r="L918">
        <v>9343.6299999999992</v>
      </c>
      <c r="M918" t="s">
        <v>50</v>
      </c>
      <c r="N918">
        <v>77</v>
      </c>
    </row>
    <row r="919" spans="1:14" x14ac:dyDescent="0.35">
      <c r="A919">
        <v>100918</v>
      </c>
      <c r="B919">
        <v>76903</v>
      </c>
      <c r="C919" t="s">
        <v>563</v>
      </c>
      <c r="D919" t="s">
        <v>30</v>
      </c>
      <c r="E919" t="s">
        <v>26</v>
      </c>
      <c r="F919" t="s">
        <v>61</v>
      </c>
      <c r="G919" t="s">
        <v>45</v>
      </c>
      <c r="H919">
        <v>8186</v>
      </c>
      <c r="I919">
        <v>5648.26</v>
      </c>
      <c r="J919">
        <v>5648.26</v>
      </c>
      <c r="K919">
        <v>2537.7399999999998</v>
      </c>
      <c r="L919">
        <v>2537.7399999999998</v>
      </c>
      <c r="M919" t="s">
        <v>19</v>
      </c>
      <c r="N919">
        <v>156</v>
      </c>
    </row>
    <row r="920" spans="1:14" x14ac:dyDescent="0.35">
      <c r="A920">
        <v>100919</v>
      </c>
      <c r="B920">
        <v>76746</v>
      </c>
      <c r="C920" t="s">
        <v>564</v>
      </c>
      <c r="D920" t="s">
        <v>52</v>
      </c>
      <c r="E920" t="s">
        <v>56</v>
      </c>
      <c r="F920" t="s">
        <v>32</v>
      </c>
      <c r="G920" t="s">
        <v>72</v>
      </c>
      <c r="H920">
        <v>2132</v>
      </c>
      <c r="I920">
        <v>1814.21</v>
      </c>
      <c r="J920">
        <v>0</v>
      </c>
      <c r="K920">
        <v>317.79000000000002</v>
      </c>
      <c r="L920">
        <v>2132</v>
      </c>
      <c r="M920" t="s">
        <v>62</v>
      </c>
      <c r="N920">
        <v>10</v>
      </c>
    </row>
    <row r="921" spans="1:14" x14ac:dyDescent="0.35">
      <c r="A921">
        <v>100920</v>
      </c>
      <c r="B921">
        <v>20476</v>
      </c>
      <c r="C921" t="s">
        <v>565</v>
      </c>
      <c r="D921" t="s">
        <v>21</v>
      </c>
      <c r="E921" t="s">
        <v>56</v>
      </c>
      <c r="F921" t="s">
        <v>54</v>
      </c>
      <c r="G921" t="s">
        <v>47</v>
      </c>
      <c r="H921">
        <v>2789</v>
      </c>
      <c r="I921">
        <v>2622.45</v>
      </c>
      <c r="J921">
        <v>2622.45</v>
      </c>
      <c r="K921">
        <v>166.55</v>
      </c>
      <c r="L921">
        <v>166.55</v>
      </c>
      <c r="M921" t="s">
        <v>19</v>
      </c>
      <c r="N921">
        <v>11</v>
      </c>
    </row>
    <row r="922" spans="1:14" x14ac:dyDescent="0.35">
      <c r="A922">
        <v>100921</v>
      </c>
      <c r="B922">
        <v>71404</v>
      </c>
      <c r="C922" t="s">
        <v>53</v>
      </c>
      <c r="D922" t="s">
        <v>15</v>
      </c>
      <c r="E922" t="s">
        <v>37</v>
      </c>
      <c r="F922" t="s">
        <v>54</v>
      </c>
      <c r="G922" t="s">
        <v>18</v>
      </c>
      <c r="H922">
        <v>3166</v>
      </c>
      <c r="I922">
        <v>2997.22</v>
      </c>
      <c r="J922">
        <v>2997.22</v>
      </c>
      <c r="K922">
        <v>168.78</v>
      </c>
      <c r="L922">
        <v>168.78</v>
      </c>
      <c r="M922" t="s">
        <v>19</v>
      </c>
      <c r="N922">
        <v>34</v>
      </c>
    </row>
    <row r="923" spans="1:14" x14ac:dyDescent="0.35">
      <c r="A923">
        <v>100922</v>
      </c>
      <c r="B923">
        <v>64381</v>
      </c>
      <c r="C923" t="s">
        <v>241</v>
      </c>
      <c r="D923" t="s">
        <v>65</v>
      </c>
      <c r="E923" t="s">
        <v>16</v>
      </c>
      <c r="F923" t="s">
        <v>61</v>
      </c>
      <c r="G923" t="s">
        <v>72</v>
      </c>
      <c r="H923">
        <v>1749</v>
      </c>
      <c r="I923">
        <v>1329.32</v>
      </c>
      <c r="J923">
        <v>1329.32</v>
      </c>
      <c r="K923">
        <v>419.68</v>
      </c>
      <c r="L923">
        <v>419.68</v>
      </c>
      <c r="M923" t="s">
        <v>19</v>
      </c>
      <c r="N923">
        <v>100</v>
      </c>
    </row>
    <row r="924" spans="1:14" x14ac:dyDescent="0.35">
      <c r="A924">
        <v>100923</v>
      </c>
      <c r="B924">
        <v>80845</v>
      </c>
      <c r="C924" t="s">
        <v>420</v>
      </c>
      <c r="D924" t="s">
        <v>30</v>
      </c>
      <c r="E924" t="s">
        <v>43</v>
      </c>
      <c r="F924" t="s">
        <v>44</v>
      </c>
      <c r="G924" t="s">
        <v>45</v>
      </c>
      <c r="H924">
        <v>20275</v>
      </c>
      <c r="I924">
        <v>12338.74</v>
      </c>
      <c r="J924">
        <v>12338.74</v>
      </c>
      <c r="K924">
        <v>7936.26</v>
      </c>
      <c r="L924">
        <v>7936.26</v>
      </c>
      <c r="M924" t="s">
        <v>19</v>
      </c>
      <c r="N924">
        <v>59</v>
      </c>
    </row>
    <row r="925" spans="1:14" x14ac:dyDescent="0.35">
      <c r="A925">
        <v>100924</v>
      </c>
      <c r="B925">
        <v>38633</v>
      </c>
      <c r="C925" t="s">
        <v>240</v>
      </c>
      <c r="D925" t="s">
        <v>34</v>
      </c>
      <c r="E925" t="s">
        <v>56</v>
      </c>
      <c r="F925" t="s">
        <v>23</v>
      </c>
      <c r="G925" t="s">
        <v>47</v>
      </c>
      <c r="H925">
        <v>7872</v>
      </c>
      <c r="I925">
        <v>5489.55</v>
      </c>
      <c r="J925">
        <v>0</v>
      </c>
      <c r="K925">
        <v>2382.4499999999998</v>
      </c>
      <c r="L925">
        <v>7872</v>
      </c>
      <c r="M925" t="s">
        <v>62</v>
      </c>
      <c r="N925">
        <v>3</v>
      </c>
    </row>
    <row r="926" spans="1:14" x14ac:dyDescent="0.35">
      <c r="A926">
        <v>100925</v>
      </c>
      <c r="B926">
        <v>21473</v>
      </c>
      <c r="C926" t="s">
        <v>361</v>
      </c>
      <c r="D926" t="s">
        <v>21</v>
      </c>
      <c r="E926" t="s">
        <v>41</v>
      </c>
      <c r="F926" t="s">
        <v>32</v>
      </c>
      <c r="G926" t="s">
        <v>24</v>
      </c>
      <c r="H926">
        <v>10687</v>
      </c>
      <c r="I926">
        <v>6743.3</v>
      </c>
      <c r="J926">
        <v>0</v>
      </c>
      <c r="K926">
        <v>3943.7</v>
      </c>
      <c r="L926">
        <v>10687</v>
      </c>
      <c r="M926" t="s">
        <v>62</v>
      </c>
      <c r="N926">
        <v>79</v>
      </c>
    </row>
    <row r="927" spans="1:14" x14ac:dyDescent="0.35">
      <c r="A927">
        <v>100926</v>
      </c>
      <c r="B927">
        <v>59799</v>
      </c>
      <c r="C927" t="s">
        <v>447</v>
      </c>
      <c r="D927" t="s">
        <v>49</v>
      </c>
      <c r="E927" t="s">
        <v>41</v>
      </c>
      <c r="F927" t="s">
        <v>23</v>
      </c>
      <c r="G927" t="s">
        <v>28</v>
      </c>
      <c r="H927">
        <v>13348</v>
      </c>
      <c r="I927">
        <v>12500.95</v>
      </c>
      <c r="J927">
        <v>12500.95</v>
      </c>
      <c r="K927">
        <v>847.05</v>
      </c>
      <c r="L927">
        <v>847.05</v>
      </c>
      <c r="M927" t="s">
        <v>19</v>
      </c>
      <c r="N927">
        <v>81</v>
      </c>
    </row>
    <row r="928" spans="1:14" x14ac:dyDescent="0.35">
      <c r="A928">
        <v>100927</v>
      </c>
      <c r="B928">
        <v>36061</v>
      </c>
      <c r="C928" t="s">
        <v>566</v>
      </c>
      <c r="D928" t="s">
        <v>65</v>
      </c>
      <c r="E928" t="s">
        <v>37</v>
      </c>
      <c r="F928" t="s">
        <v>44</v>
      </c>
      <c r="G928" t="s">
        <v>47</v>
      </c>
      <c r="H928">
        <v>9540</v>
      </c>
      <c r="I928">
        <v>8831.1200000000008</v>
      </c>
      <c r="J928">
        <v>4678.24</v>
      </c>
      <c r="K928">
        <v>708.88</v>
      </c>
      <c r="L928">
        <v>4861.76</v>
      </c>
      <c r="M928" t="s">
        <v>39</v>
      </c>
      <c r="N928">
        <v>157</v>
      </c>
    </row>
    <row r="929" spans="1:14" x14ac:dyDescent="0.35">
      <c r="A929">
        <v>100928</v>
      </c>
      <c r="B929">
        <v>15493</v>
      </c>
      <c r="C929" t="s">
        <v>342</v>
      </c>
      <c r="D929" t="s">
        <v>30</v>
      </c>
      <c r="E929" t="s">
        <v>56</v>
      </c>
      <c r="F929" t="s">
        <v>35</v>
      </c>
      <c r="G929" t="s">
        <v>28</v>
      </c>
      <c r="H929">
        <v>17220</v>
      </c>
      <c r="I929">
        <v>14810.82</v>
      </c>
      <c r="J929">
        <v>12739.09</v>
      </c>
      <c r="K929">
        <v>2409.1799999999998</v>
      </c>
      <c r="L929">
        <v>4480.91</v>
      </c>
      <c r="M929" t="s">
        <v>39</v>
      </c>
      <c r="N929">
        <v>27</v>
      </c>
    </row>
    <row r="930" spans="1:14" x14ac:dyDescent="0.35">
      <c r="A930">
        <v>100929</v>
      </c>
      <c r="B930">
        <v>73953</v>
      </c>
      <c r="C930" t="s">
        <v>157</v>
      </c>
      <c r="D930" t="s">
        <v>52</v>
      </c>
      <c r="E930" t="s">
        <v>26</v>
      </c>
      <c r="F930" t="s">
        <v>54</v>
      </c>
      <c r="G930" t="s">
        <v>45</v>
      </c>
      <c r="H930">
        <v>19196</v>
      </c>
      <c r="I930">
        <v>14230.13</v>
      </c>
      <c r="J930">
        <v>14230.13</v>
      </c>
      <c r="K930">
        <v>4965.87</v>
      </c>
      <c r="L930">
        <v>4965.87</v>
      </c>
      <c r="M930" t="s">
        <v>19</v>
      </c>
      <c r="N930">
        <v>151</v>
      </c>
    </row>
    <row r="931" spans="1:14" x14ac:dyDescent="0.35">
      <c r="A931">
        <v>100930</v>
      </c>
      <c r="B931">
        <v>30489</v>
      </c>
      <c r="C931" t="s">
        <v>293</v>
      </c>
      <c r="D931" t="s">
        <v>21</v>
      </c>
      <c r="E931" t="s">
        <v>16</v>
      </c>
      <c r="F931" t="s">
        <v>32</v>
      </c>
      <c r="G931" t="s">
        <v>72</v>
      </c>
      <c r="H931">
        <v>18791</v>
      </c>
      <c r="I931">
        <v>13722.42</v>
      </c>
      <c r="J931">
        <v>13722.42</v>
      </c>
      <c r="K931">
        <v>5068.58</v>
      </c>
      <c r="L931">
        <v>5068.58</v>
      </c>
      <c r="M931" t="s">
        <v>19</v>
      </c>
      <c r="N931">
        <v>180</v>
      </c>
    </row>
    <row r="932" spans="1:14" x14ac:dyDescent="0.35">
      <c r="A932">
        <v>100931</v>
      </c>
      <c r="B932">
        <v>97259</v>
      </c>
      <c r="C932" t="s">
        <v>301</v>
      </c>
      <c r="D932" t="s">
        <v>30</v>
      </c>
      <c r="E932" t="s">
        <v>37</v>
      </c>
      <c r="F932" t="s">
        <v>61</v>
      </c>
      <c r="G932" t="s">
        <v>38</v>
      </c>
      <c r="H932">
        <v>12389</v>
      </c>
      <c r="I932">
        <v>8968.9699999999993</v>
      </c>
      <c r="J932">
        <v>8968.9699999999993</v>
      </c>
      <c r="K932">
        <v>3420.03</v>
      </c>
      <c r="L932">
        <v>3420.03</v>
      </c>
      <c r="M932" t="s">
        <v>19</v>
      </c>
      <c r="N932">
        <v>15</v>
      </c>
    </row>
    <row r="933" spans="1:14" x14ac:dyDescent="0.35">
      <c r="A933">
        <v>100932</v>
      </c>
      <c r="B933">
        <v>55973</v>
      </c>
      <c r="C933" t="s">
        <v>287</v>
      </c>
      <c r="D933" t="s">
        <v>30</v>
      </c>
      <c r="E933" t="s">
        <v>26</v>
      </c>
      <c r="F933" t="s">
        <v>35</v>
      </c>
      <c r="G933" t="s">
        <v>28</v>
      </c>
      <c r="H933">
        <v>24620</v>
      </c>
      <c r="I933">
        <v>16811.52</v>
      </c>
      <c r="J933">
        <v>116.29</v>
      </c>
      <c r="K933">
        <v>7808.48</v>
      </c>
      <c r="L933">
        <v>24503.71</v>
      </c>
      <c r="M933" t="s">
        <v>50</v>
      </c>
      <c r="N933">
        <v>86</v>
      </c>
    </row>
    <row r="934" spans="1:14" x14ac:dyDescent="0.35">
      <c r="A934">
        <v>100933</v>
      </c>
      <c r="B934">
        <v>22048</v>
      </c>
      <c r="C934" t="s">
        <v>242</v>
      </c>
      <c r="D934" t="s">
        <v>34</v>
      </c>
      <c r="E934" t="s">
        <v>37</v>
      </c>
      <c r="F934" t="s">
        <v>17</v>
      </c>
      <c r="G934" t="s">
        <v>38</v>
      </c>
      <c r="H934">
        <v>24839</v>
      </c>
      <c r="I934">
        <v>18786.23</v>
      </c>
      <c r="J934">
        <v>18786.23</v>
      </c>
      <c r="K934">
        <v>6052.77</v>
      </c>
      <c r="L934">
        <v>6052.77</v>
      </c>
      <c r="M934" t="s">
        <v>19</v>
      </c>
      <c r="N934">
        <v>170</v>
      </c>
    </row>
    <row r="935" spans="1:14" x14ac:dyDescent="0.35">
      <c r="A935">
        <v>100934</v>
      </c>
      <c r="B935">
        <v>15997</v>
      </c>
      <c r="C935" t="s">
        <v>567</v>
      </c>
      <c r="D935" t="s">
        <v>30</v>
      </c>
      <c r="E935" t="s">
        <v>43</v>
      </c>
      <c r="F935" t="s">
        <v>35</v>
      </c>
      <c r="G935" t="s">
        <v>38</v>
      </c>
      <c r="H935">
        <v>20215</v>
      </c>
      <c r="I935">
        <v>13925.9</v>
      </c>
      <c r="J935">
        <v>13925.9</v>
      </c>
      <c r="K935">
        <v>6289.1</v>
      </c>
      <c r="L935">
        <v>6289.1</v>
      </c>
      <c r="M935" t="s">
        <v>19</v>
      </c>
      <c r="N935">
        <v>178</v>
      </c>
    </row>
    <row r="936" spans="1:14" x14ac:dyDescent="0.35">
      <c r="A936">
        <v>100935</v>
      </c>
      <c r="B936">
        <v>66608</v>
      </c>
      <c r="C936" t="s">
        <v>288</v>
      </c>
      <c r="D936" t="s">
        <v>34</v>
      </c>
      <c r="E936" t="s">
        <v>56</v>
      </c>
      <c r="F936" t="s">
        <v>27</v>
      </c>
      <c r="G936" t="s">
        <v>47</v>
      </c>
      <c r="H936">
        <v>13214</v>
      </c>
      <c r="I936">
        <v>8646.67</v>
      </c>
      <c r="J936">
        <v>8646.67</v>
      </c>
      <c r="K936">
        <v>4567.33</v>
      </c>
      <c r="L936">
        <v>4567.33</v>
      </c>
      <c r="M936" t="s">
        <v>19</v>
      </c>
      <c r="N936">
        <v>144</v>
      </c>
    </row>
    <row r="937" spans="1:14" x14ac:dyDescent="0.35">
      <c r="A937">
        <v>100936</v>
      </c>
      <c r="B937">
        <v>23103</v>
      </c>
      <c r="C937" t="s">
        <v>506</v>
      </c>
      <c r="D937" t="s">
        <v>34</v>
      </c>
      <c r="E937" t="s">
        <v>26</v>
      </c>
      <c r="F937" t="s">
        <v>27</v>
      </c>
      <c r="G937" t="s">
        <v>72</v>
      </c>
      <c r="H937">
        <v>14577</v>
      </c>
      <c r="I937">
        <v>13673.27</v>
      </c>
      <c r="J937">
        <v>11346.81</v>
      </c>
      <c r="K937">
        <v>903.73</v>
      </c>
      <c r="L937">
        <v>3230.19</v>
      </c>
      <c r="M937" t="s">
        <v>39</v>
      </c>
      <c r="N937">
        <v>87</v>
      </c>
    </row>
    <row r="938" spans="1:14" x14ac:dyDescent="0.35">
      <c r="A938">
        <v>100937</v>
      </c>
      <c r="B938">
        <v>84588</v>
      </c>
      <c r="C938" t="s">
        <v>568</v>
      </c>
      <c r="D938" t="s">
        <v>49</v>
      </c>
      <c r="E938" t="s">
        <v>56</v>
      </c>
      <c r="F938" t="s">
        <v>61</v>
      </c>
      <c r="G938" t="s">
        <v>28</v>
      </c>
      <c r="H938">
        <v>8247</v>
      </c>
      <c r="I938">
        <v>6120.45</v>
      </c>
      <c r="J938">
        <v>5452.89</v>
      </c>
      <c r="K938">
        <v>2126.5500000000002</v>
      </c>
      <c r="L938">
        <v>2794.11</v>
      </c>
      <c r="M938" t="s">
        <v>39</v>
      </c>
      <c r="N938">
        <v>116</v>
      </c>
    </row>
    <row r="939" spans="1:14" x14ac:dyDescent="0.35">
      <c r="A939">
        <v>100938</v>
      </c>
      <c r="B939">
        <v>73022</v>
      </c>
      <c r="C939" t="s">
        <v>225</v>
      </c>
      <c r="D939" t="s">
        <v>34</v>
      </c>
      <c r="E939" t="s">
        <v>43</v>
      </c>
      <c r="F939" t="s">
        <v>23</v>
      </c>
      <c r="G939" t="s">
        <v>45</v>
      </c>
      <c r="H939">
        <v>9967</v>
      </c>
      <c r="I939">
        <v>8793.33</v>
      </c>
      <c r="J939">
        <v>5589.01</v>
      </c>
      <c r="K939">
        <v>1173.67</v>
      </c>
      <c r="L939">
        <v>4377.99</v>
      </c>
      <c r="M939" t="s">
        <v>39</v>
      </c>
      <c r="N939">
        <v>103</v>
      </c>
    </row>
    <row r="940" spans="1:14" x14ac:dyDescent="0.35">
      <c r="A940">
        <v>100939</v>
      </c>
      <c r="B940">
        <v>83791</v>
      </c>
      <c r="C940" t="s">
        <v>469</v>
      </c>
      <c r="D940" t="s">
        <v>34</v>
      </c>
      <c r="E940" t="s">
        <v>56</v>
      </c>
      <c r="F940" t="s">
        <v>54</v>
      </c>
      <c r="G940" t="s">
        <v>47</v>
      </c>
      <c r="H940">
        <v>374</v>
      </c>
      <c r="I940">
        <v>208.59</v>
      </c>
      <c r="J940">
        <v>208.59</v>
      </c>
      <c r="K940">
        <v>165.41</v>
      </c>
      <c r="L940">
        <v>165.41</v>
      </c>
      <c r="M940" t="s">
        <v>19</v>
      </c>
      <c r="N940">
        <v>163</v>
      </c>
    </row>
    <row r="941" spans="1:14" x14ac:dyDescent="0.35">
      <c r="A941">
        <v>100940</v>
      </c>
      <c r="B941">
        <v>34808</v>
      </c>
      <c r="C941" t="s">
        <v>388</v>
      </c>
      <c r="D941" t="s">
        <v>15</v>
      </c>
      <c r="E941" t="s">
        <v>31</v>
      </c>
      <c r="F941" t="s">
        <v>23</v>
      </c>
      <c r="G941" t="s">
        <v>38</v>
      </c>
      <c r="H941">
        <v>22508</v>
      </c>
      <c r="I941">
        <v>20032.439999999999</v>
      </c>
      <c r="J941">
        <v>12137.81</v>
      </c>
      <c r="K941">
        <v>2475.56</v>
      </c>
      <c r="L941">
        <v>10370.19</v>
      </c>
      <c r="M941" t="s">
        <v>39</v>
      </c>
      <c r="N941">
        <v>148</v>
      </c>
    </row>
    <row r="942" spans="1:14" x14ac:dyDescent="0.35">
      <c r="A942">
        <v>100941</v>
      </c>
      <c r="B942">
        <v>27772</v>
      </c>
      <c r="C942" t="s">
        <v>569</v>
      </c>
      <c r="D942" t="s">
        <v>65</v>
      </c>
      <c r="E942" t="s">
        <v>26</v>
      </c>
      <c r="F942" t="s">
        <v>54</v>
      </c>
      <c r="G942" t="s">
        <v>47</v>
      </c>
      <c r="H942">
        <v>14777</v>
      </c>
      <c r="I942">
        <v>13091.94</v>
      </c>
      <c r="J942">
        <v>13091.94</v>
      </c>
      <c r="K942">
        <v>1685.06</v>
      </c>
      <c r="L942">
        <v>1685.06</v>
      </c>
      <c r="M942" t="s">
        <v>19</v>
      </c>
      <c r="N942">
        <v>35</v>
      </c>
    </row>
    <row r="943" spans="1:14" x14ac:dyDescent="0.35">
      <c r="A943">
        <v>100942</v>
      </c>
      <c r="B943">
        <v>54862</v>
      </c>
      <c r="C943" t="s">
        <v>398</v>
      </c>
      <c r="D943" t="s">
        <v>15</v>
      </c>
      <c r="E943" t="s">
        <v>56</v>
      </c>
      <c r="F943" t="s">
        <v>44</v>
      </c>
      <c r="G943" t="s">
        <v>24</v>
      </c>
      <c r="H943">
        <v>22439</v>
      </c>
      <c r="I943">
        <v>12902.17</v>
      </c>
      <c r="J943">
        <v>12902.17</v>
      </c>
      <c r="K943">
        <v>9536.83</v>
      </c>
      <c r="L943">
        <v>9536.83</v>
      </c>
      <c r="M943" t="s">
        <v>19</v>
      </c>
      <c r="N943">
        <v>109</v>
      </c>
    </row>
    <row r="944" spans="1:14" x14ac:dyDescent="0.35">
      <c r="A944">
        <v>100943</v>
      </c>
      <c r="B944">
        <v>78175</v>
      </c>
      <c r="C944" t="s">
        <v>172</v>
      </c>
      <c r="D944" t="s">
        <v>15</v>
      </c>
      <c r="E944" t="s">
        <v>41</v>
      </c>
      <c r="F944" t="s">
        <v>44</v>
      </c>
      <c r="G944" t="s">
        <v>28</v>
      </c>
      <c r="H944">
        <v>3988</v>
      </c>
      <c r="I944">
        <v>3645.63</v>
      </c>
      <c r="J944">
        <v>0</v>
      </c>
      <c r="K944">
        <v>342.37</v>
      </c>
      <c r="L944">
        <v>3988</v>
      </c>
      <c r="M944" t="s">
        <v>62</v>
      </c>
      <c r="N944">
        <v>3</v>
      </c>
    </row>
    <row r="945" spans="1:14" x14ac:dyDescent="0.35">
      <c r="A945">
        <v>100944</v>
      </c>
      <c r="B945">
        <v>95955</v>
      </c>
      <c r="C945" t="s">
        <v>236</v>
      </c>
      <c r="D945" t="s">
        <v>21</v>
      </c>
      <c r="E945" t="s">
        <v>41</v>
      </c>
      <c r="F945" t="s">
        <v>35</v>
      </c>
      <c r="G945" t="s">
        <v>47</v>
      </c>
      <c r="H945">
        <v>4865</v>
      </c>
      <c r="I945">
        <v>4483.5200000000004</v>
      </c>
      <c r="J945">
        <v>4483.5200000000004</v>
      </c>
      <c r="K945">
        <v>381.48</v>
      </c>
      <c r="L945">
        <v>381.48</v>
      </c>
      <c r="M945" t="s">
        <v>19</v>
      </c>
      <c r="N945">
        <v>66</v>
      </c>
    </row>
    <row r="946" spans="1:14" x14ac:dyDescent="0.35">
      <c r="A946">
        <v>100945</v>
      </c>
      <c r="B946">
        <v>24654</v>
      </c>
      <c r="C946" t="s">
        <v>570</v>
      </c>
      <c r="D946" t="s">
        <v>15</v>
      </c>
      <c r="E946" t="s">
        <v>56</v>
      </c>
      <c r="F946" t="s">
        <v>35</v>
      </c>
      <c r="G946" t="s">
        <v>28</v>
      </c>
      <c r="H946">
        <v>3910</v>
      </c>
      <c r="I946">
        <v>2159.88</v>
      </c>
      <c r="J946">
        <v>2159.88</v>
      </c>
      <c r="K946">
        <v>1750.12</v>
      </c>
      <c r="L946">
        <v>1750.12</v>
      </c>
      <c r="M946" t="s">
        <v>19</v>
      </c>
      <c r="N946">
        <v>54</v>
      </c>
    </row>
    <row r="947" spans="1:14" x14ac:dyDescent="0.35">
      <c r="A947">
        <v>100946</v>
      </c>
      <c r="B947">
        <v>29168</v>
      </c>
      <c r="C947" t="s">
        <v>571</v>
      </c>
      <c r="D947" t="s">
        <v>52</v>
      </c>
      <c r="E947" t="s">
        <v>41</v>
      </c>
      <c r="F947" t="s">
        <v>23</v>
      </c>
      <c r="G947" t="s">
        <v>24</v>
      </c>
      <c r="H947">
        <v>17960</v>
      </c>
      <c r="I947">
        <v>11023.33</v>
      </c>
      <c r="J947">
        <v>11023.33</v>
      </c>
      <c r="K947">
        <v>6936.67</v>
      </c>
      <c r="L947">
        <v>6936.67</v>
      </c>
      <c r="M947" t="s">
        <v>19</v>
      </c>
      <c r="N947">
        <v>173</v>
      </c>
    </row>
    <row r="948" spans="1:14" x14ac:dyDescent="0.35">
      <c r="A948">
        <v>100947</v>
      </c>
      <c r="B948">
        <v>28790</v>
      </c>
      <c r="C948" t="s">
        <v>203</v>
      </c>
      <c r="D948" t="s">
        <v>34</v>
      </c>
      <c r="E948" t="s">
        <v>22</v>
      </c>
      <c r="F948" t="s">
        <v>23</v>
      </c>
      <c r="G948" t="s">
        <v>28</v>
      </c>
      <c r="H948">
        <v>24127</v>
      </c>
      <c r="I948">
        <v>15175.32</v>
      </c>
      <c r="J948">
        <v>15175.32</v>
      </c>
      <c r="K948">
        <v>8951.68</v>
      </c>
      <c r="L948">
        <v>8951.68</v>
      </c>
      <c r="M948" t="s">
        <v>19</v>
      </c>
      <c r="N948">
        <v>136</v>
      </c>
    </row>
    <row r="949" spans="1:14" x14ac:dyDescent="0.35">
      <c r="A949">
        <v>100948</v>
      </c>
      <c r="B949">
        <v>38145</v>
      </c>
      <c r="C949" t="s">
        <v>156</v>
      </c>
      <c r="D949" t="s">
        <v>34</v>
      </c>
      <c r="E949" t="s">
        <v>22</v>
      </c>
      <c r="F949" t="s">
        <v>61</v>
      </c>
      <c r="G949" t="s">
        <v>47</v>
      </c>
      <c r="H949">
        <v>2760</v>
      </c>
      <c r="I949">
        <v>1834.66</v>
      </c>
      <c r="J949">
        <v>1465.34</v>
      </c>
      <c r="K949">
        <v>925.34</v>
      </c>
      <c r="L949">
        <v>1294.6600000000001</v>
      </c>
      <c r="M949" t="s">
        <v>39</v>
      </c>
      <c r="N949">
        <v>148</v>
      </c>
    </row>
    <row r="950" spans="1:14" x14ac:dyDescent="0.35">
      <c r="A950">
        <v>100949</v>
      </c>
      <c r="B950">
        <v>32980</v>
      </c>
      <c r="C950" t="s">
        <v>178</v>
      </c>
      <c r="D950" t="s">
        <v>21</v>
      </c>
      <c r="E950" t="s">
        <v>41</v>
      </c>
      <c r="F950" t="s">
        <v>17</v>
      </c>
      <c r="G950" t="s">
        <v>45</v>
      </c>
      <c r="H950">
        <v>7724</v>
      </c>
      <c r="I950">
        <v>6051.48</v>
      </c>
      <c r="J950">
        <v>2577.6799999999998</v>
      </c>
      <c r="K950">
        <v>1672.52</v>
      </c>
      <c r="L950">
        <v>5146.32</v>
      </c>
      <c r="M950" t="s">
        <v>39</v>
      </c>
      <c r="N950">
        <v>145</v>
      </c>
    </row>
    <row r="951" spans="1:14" x14ac:dyDescent="0.35">
      <c r="A951">
        <v>100950</v>
      </c>
      <c r="B951">
        <v>22497</v>
      </c>
      <c r="C951" t="s">
        <v>451</v>
      </c>
      <c r="D951" t="s">
        <v>52</v>
      </c>
      <c r="E951" t="s">
        <v>31</v>
      </c>
      <c r="F951" t="s">
        <v>17</v>
      </c>
      <c r="G951" t="s">
        <v>45</v>
      </c>
      <c r="H951">
        <v>19350</v>
      </c>
      <c r="I951">
        <v>16412.34</v>
      </c>
      <c r="J951">
        <v>14347.13</v>
      </c>
      <c r="K951">
        <v>2937.66</v>
      </c>
      <c r="L951">
        <v>5002.87</v>
      </c>
      <c r="M951" t="s">
        <v>39</v>
      </c>
      <c r="N951">
        <v>160</v>
      </c>
    </row>
    <row r="952" spans="1:14" x14ac:dyDescent="0.35">
      <c r="A952">
        <v>100951</v>
      </c>
      <c r="B952">
        <v>32184</v>
      </c>
      <c r="C952" t="s">
        <v>78</v>
      </c>
      <c r="D952" t="s">
        <v>15</v>
      </c>
      <c r="E952" t="s">
        <v>43</v>
      </c>
      <c r="F952" t="s">
        <v>27</v>
      </c>
      <c r="G952" t="s">
        <v>45</v>
      </c>
      <c r="H952">
        <v>6165</v>
      </c>
      <c r="I952">
        <v>4308.6499999999996</v>
      </c>
      <c r="J952">
        <v>0</v>
      </c>
      <c r="K952">
        <v>1856.35</v>
      </c>
      <c r="L952">
        <v>6165</v>
      </c>
      <c r="M952" t="s">
        <v>62</v>
      </c>
      <c r="N952">
        <v>16</v>
      </c>
    </row>
    <row r="953" spans="1:14" x14ac:dyDescent="0.35">
      <c r="A953">
        <v>100952</v>
      </c>
      <c r="B953">
        <v>39384</v>
      </c>
      <c r="C953" t="s">
        <v>205</v>
      </c>
      <c r="D953" t="s">
        <v>21</v>
      </c>
      <c r="E953" t="s">
        <v>56</v>
      </c>
      <c r="F953" t="s">
        <v>61</v>
      </c>
      <c r="G953" t="s">
        <v>45</v>
      </c>
      <c r="H953">
        <v>1877</v>
      </c>
      <c r="I953">
        <v>1416.2</v>
      </c>
      <c r="J953">
        <v>1416.2</v>
      </c>
      <c r="K953">
        <v>460.8</v>
      </c>
      <c r="L953">
        <v>460.8</v>
      </c>
      <c r="M953" t="s">
        <v>19</v>
      </c>
      <c r="N953">
        <v>157</v>
      </c>
    </row>
    <row r="954" spans="1:14" x14ac:dyDescent="0.35">
      <c r="A954">
        <v>100953</v>
      </c>
      <c r="B954">
        <v>96334</v>
      </c>
      <c r="C954" t="s">
        <v>572</v>
      </c>
      <c r="D954" t="s">
        <v>30</v>
      </c>
      <c r="E954" t="s">
        <v>31</v>
      </c>
      <c r="F954" t="s">
        <v>54</v>
      </c>
      <c r="G954" t="s">
        <v>47</v>
      </c>
      <c r="H954">
        <v>15945</v>
      </c>
      <c r="I954">
        <v>12233.66</v>
      </c>
      <c r="J954">
        <v>12233.66</v>
      </c>
      <c r="K954">
        <v>3711.34</v>
      </c>
      <c r="L954">
        <v>3711.34</v>
      </c>
      <c r="M954" t="s">
        <v>19</v>
      </c>
      <c r="N954">
        <v>154</v>
      </c>
    </row>
    <row r="955" spans="1:14" x14ac:dyDescent="0.35">
      <c r="A955">
        <v>100954</v>
      </c>
      <c r="B955">
        <v>92513</v>
      </c>
      <c r="C955" t="s">
        <v>573</v>
      </c>
      <c r="D955" t="s">
        <v>34</v>
      </c>
      <c r="E955" t="s">
        <v>16</v>
      </c>
      <c r="F955" t="s">
        <v>27</v>
      </c>
      <c r="G955" t="s">
        <v>72</v>
      </c>
      <c r="H955">
        <v>321</v>
      </c>
      <c r="I955">
        <v>229.55</v>
      </c>
      <c r="J955">
        <v>229.55</v>
      </c>
      <c r="K955">
        <v>91.45</v>
      </c>
      <c r="L955">
        <v>91.45</v>
      </c>
      <c r="M955" t="s">
        <v>19</v>
      </c>
      <c r="N955">
        <v>154</v>
      </c>
    </row>
    <row r="956" spans="1:14" x14ac:dyDescent="0.35">
      <c r="A956">
        <v>100955</v>
      </c>
      <c r="B956">
        <v>12962</v>
      </c>
      <c r="C956" t="s">
        <v>444</v>
      </c>
      <c r="D956" t="s">
        <v>15</v>
      </c>
      <c r="E956" t="s">
        <v>16</v>
      </c>
      <c r="F956" t="s">
        <v>32</v>
      </c>
      <c r="G956" t="s">
        <v>72</v>
      </c>
      <c r="H956">
        <v>4560</v>
      </c>
      <c r="I956">
        <v>3962.06</v>
      </c>
      <c r="J956">
        <v>0</v>
      </c>
      <c r="K956">
        <v>597.94000000000005</v>
      </c>
      <c r="L956">
        <v>4560</v>
      </c>
      <c r="M956" t="s">
        <v>62</v>
      </c>
      <c r="N956">
        <v>145</v>
      </c>
    </row>
    <row r="957" spans="1:14" x14ac:dyDescent="0.35">
      <c r="A957">
        <v>100956</v>
      </c>
      <c r="B957">
        <v>86576</v>
      </c>
      <c r="C957" t="s">
        <v>574</v>
      </c>
      <c r="D957" t="s">
        <v>30</v>
      </c>
      <c r="E957" t="s">
        <v>26</v>
      </c>
      <c r="F957" t="s">
        <v>44</v>
      </c>
      <c r="G957" t="s">
        <v>28</v>
      </c>
      <c r="H957">
        <v>24863</v>
      </c>
      <c r="I957">
        <v>16523.18</v>
      </c>
      <c r="J957">
        <v>16523.18</v>
      </c>
      <c r="K957">
        <v>8339.82</v>
      </c>
      <c r="L957">
        <v>8339.82</v>
      </c>
      <c r="M957" t="s">
        <v>19</v>
      </c>
      <c r="N957">
        <v>140</v>
      </c>
    </row>
    <row r="958" spans="1:14" x14ac:dyDescent="0.35">
      <c r="A958">
        <v>100957</v>
      </c>
      <c r="B958">
        <v>11896</v>
      </c>
      <c r="C958" t="s">
        <v>385</v>
      </c>
      <c r="D958" t="s">
        <v>30</v>
      </c>
      <c r="E958" t="s">
        <v>22</v>
      </c>
      <c r="F958" t="s">
        <v>23</v>
      </c>
      <c r="G958" t="s">
        <v>72</v>
      </c>
      <c r="H958">
        <v>20450</v>
      </c>
      <c r="I958">
        <v>13968.76</v>
      </c>
      <c r="J958">
        <v>7662.84</v>
      </c>
      <c r="K958">
        <v>6481.24</v>
      </c>
      <c r="L958">
        <v>12787.16</v>
      </c>
      <c r="M958" t="s">
        <v>39</v>
      </c>
      <c r="N958">
        <v>40</v>
      </c>
    </row>
    <row r="959" spans="1:14" x14ac:dyDescent="0.35">
      <c r="A959">
        <v>100958</v>
      </c>
      <c r="B959">
        <v>74456</v>
      </c>
      <c r="C959" t="s">
        <v>254</v>
      </c>
      <c r="D959" t="s">
        <v>49</v>
      </c>
      <c r="E959" t="s">
        <v>31</v>
      </c>
      <c r="F959" t="s">
        <v>17</v>
      </c>
      <c r="G959" t="s">
        <v>45</v>
      </c>
      <c r="H959">
        <v>12320</v>
      </c>
      <c r="I959">
        <v>7895.94</v>
      </c>
      <c r="J959">
        <v>271.39</v>
      </c>
      <c r="K959">
        <v>4424.0600000000004</v>
      </c>
      <c r="L959">
        <v>12048.61</v>
      </c>
      <c r="M959" t="s">
        <v>50</v>
      </c>
      <c r="N959">
        <v>108</v>
      </c>
    </row>
    <row r="960" spans="1:14" x14ac:dyDescent="0.35">
      <c r="A960">
        <v>100959</v>
      </c>
      <c r="B960">
        <v>80203</v>
      </c>
      <c r="C960" t="s">
        <v>183</v>
      </c>
      <c r="D960" t="s">
        <v>21</v>
      </c>
      <c r="E960" t="s">
        <v>31</v>
      </c>
      <c r="F960" t="s">
        <v>32</v>
      </c>
      <c r="G960" t="s">
        <v>24</v>
      </c>
      <c r="H960">
        <v>6164</v>
      </c>
      <c r="I960">
        <v>5260.73</v>
      </c>
      <c r="J960">
        <v>5260.73</v>
      </c>
      <c r="K960">
        <v>903.27</v>
      </c>
      <c r="L960">
        <v>903.27</v>
      </c>
      <c r="M960" t="s">
        <v>19</v>
      </c>
      <c r="N960">
        <v>42</v>
      </c>
    </row>
    <row r="961" spans="1:14" x14ac:dyDescent="0.35">
      <c r="A961">
        <v>100960</v>
      </c>
      <c r="B961">
        <v>92850</v>
      </c>
      <c r="C961" t="s">
        <v>163</v>
      </c>
      <c r="D961" t="s">
        <v>21</v>
      </c>
      <c r="E961" t="s">
        <v>37</v>
      </c>
      <c r="F961" t="s">
        <v>44</v>
      </c>
      <c r="G961" t="s">
        <v>28</v>
      </c>
      <c r="H961">
        <v>11652</v>
      </c>
      <c r="I961">
        <v>8846.24</v>
      </c>
      <c r="J961">
        <v>8846.24</v>
      </c>
      <c r="K961">
        <v>2805.76</v>
      </c>
      <c r="L961">
        <v>2805.76</v>
      </c>
      <c r="M961" t="s">
        <v>19</v>
      </c>
      <c r="N961">
        <v>1</v>
      </c>
    </row>
    <row r="962" spans="1:14" x14ac:dyDescent="0.35">
      <c r="A962">
        <v>100961</v>
      </c>
      <c r="B962">
        <v>33728</v>
      </c>
      <c r="C962" t="s">
        <v>431</v>
      </c>
      <c r="D962" t="s">
        <v>49</v>
      </c>
      <c r="E962" t="s">
        <v>37</v>
      </c>
      <c r="F962" t="s">
        <v>35</v>
      </c>
      <c r="G962" t="s">
        <v>18</v>
      </c>
      <c r="H962">
        <v>6853</v>
      </c>
      <c r="I962">
        <v>5717.05</v>
      </c>
      <c r="J962">
        <v>0</v>
      </c>
      <c r="K962">
        <v>1135.95</v>
      </c>
      <c r="L962">
        <v>6853</v>
      </c>
      <c r="M962" t="s">
        <v>62</v>
      </c>
      <c r="N962">
        <v>43</v>
      </c>
    </row>
    <row r="963" spans="1:14" x14ac:dyDescent="0.35">
      <c r="A963">
        <v>100962</v>
      </c>
      <c r="B963">
        <v>27940</v>
      </c>
      <c r="C963" t="s">
        <v>570</v>
      </c>
      <c r="D963" t="s">
        <v>49</v>
      </c>
      <c r="E963" t="s">
        <v>16</v>
      </c>
      <c r="F963" t="s">
        <v>17</v>
      </c>
      <c r="G963" t="s">
        <v>38</v>
      </c>
      <c r="H963">
        <v>18431</v>
      </c>
      <c r="I963">
        <v>14748.64</v>
      </c>
      <c r="J963">
        <v>14748.64</v>
      </c>
      <c r="K963">
        <v>3682.36</v>
      </c>
      <c r="L963">
        <v>3682.36</v>
      </c>
      <c r="M963" t="s">
        <v>19</v>
      </c>
      <c r="N963">
        <v>2</v>
      </c>
    </row>
    <row r="964" spans="1:14" x14ac:dyDescent="0.35">
      <c r="A964">
        <v>100963</v>
      </c>
      <c r="B964">
        <v>47434</v>
      </c>
      <c r="C964" t="s">
        <v>130</v>
      </c>
      <c r="D964" t="s">
        <v>52</v>
      </c>
      <c r="E964" t="s">
        <v>26</v>
      </c>
      <c r="F964" t="s">
        <v>35</v>
      </c>
      <c r="G964" t="s">
        <v>24</v>
      </c>
      <c r="H964">
        <v>10494</v>
      </c>
      <c r="I964">
        <v>7594</v>
      </c>
      <c r="J964">
        <v>7594</v>
      </c>
      <c r="K964">
        <v>2900</v>
      </c>
      <c r="L964">
        <v>2900</v>
      </c>
      <c r="M964" t="s">
        <v>19</v>
      </c>
      <c r="N964">
        <v>108</v>
      </c>
    </row>
    <row r="965" spans="1:14" x14ac:dyDescent="0.35">
      <c r="A965">
        <v>100964</v>
      </c>
      <c r="B965">
        <v>99277</v>
      </c>
      <c r="C965" t="s">
        <v>575</v>
      </c>
      <c r="D965" t="s">
        <v>21</v>
      </c>
      <c r="E965" t="s">
        <v>16</v>
      </c>
      <c r="F965" t="s">
        <v>35</v>
      </c>
      <c r="G965" t="s">
        <v>18</v>
      </c>
      <c r="H965">
        <v>21213</v>
      </c>
      <c r="I965">
        <v>17540.86</v>
      </c>
      <c r="J965">
        <v>17540.86</v>
      </c>
      <c r="K965">
        <v>3672.14</v>
      </c>
      <c r="L965">
        <v>3672.14</v>
      </c>
      <c r="M965" t="s">
        <v>19</v>
      </c>
      <c r="N965">
        <v>11</v>
      </c>
    </row>
    <row r="966" spans="1:14" x14ac:dyDescent="0.35">
      <c r="A966">
        <v>100965</v>
      </c>
      <c r="B966">
        <v>48248</v>
      </c>
      <c r="C966" t="s">
        <v>239</v>
      </c>
      <c r="D966" t="s">
        <v>30</v>
      </c>
      <c r="E966" t="s">
        <v>31</v>
      </c>
      <c r="F966" t="s">
        <v>35</v>
      </c>
      <c r="G966" t="s">
        <v>24</v>
      </c>
      <c r="H966">
        <v>8924</v>
      </c>
      <c r="I966">
        <v>6637.38</v>
      </c>
      <c r="J966">
        <v>6637.38</v>
      </c>
      <c r="K966">
        <v>2286.62</v>
      </c>
      <c r="L966">
        <v>2286.62</v>
      </c>
      <c r="M966" t="s">
        <v>19</v>
      </c>
      <c r="N966">
        <v>21</v>
      </c>
    </row>
    <row r="967" spans="1:14" x14ac:dyDescent="0.35">
      <c r="A967">
        <v>100966</v>
      </c>
      <c r="B967">
        <v>62735</v>
      </c>
      <c r="C967" t="s">
        <v>432</v>
      </c>
      <c r="D967" t="s">
        <v>30</v>
      </c>
      <c r="E967" t="s">
        <v>37</v>
      </c>
      <c r="F967" t="s">
        <v>27</v>
      </c>
      <c r="G967" t="s">
        <v>18</v>
      </c>
      <c r="H967">
        <v>11420</v>
      </c>
      <c r="I967">
        <v>8844.43</v>
      </c>
      <c r="J967">
        <v>1871.55</v>
      </c>
      <c r="K967">
        <v>2575.5700000000002</v>
      </c>
      <c r="L967">
        <v>9548.4500000000007</v>
      </c>
      <c r="M967" t="s">
        <v>50</v>
      </c>
      <c r="N967">
        <v>172</v>
      </c>
    </row>
    <row r="968" spans="1:14" x14ac:dyDescent="0.35">
      <c r="A968">
        <v>100967</v>
      </c>
      <c r="B968">
        <v>37274</v>
      </c>
      <c r="C968" t="s">
        <v>391</v>
      </c>
      <c r="D968" t="s">
        <v>49</v>
      </c>
      <c r="E968" t="s">
        <v>22</v>
      </c>
      <c r="F968" t="s">
        <v>44</v>
      </c>
      <c r="G968" t="s">
        <v>28</v>
      </c>
      <c r="H968">
        <v>11670</v>
      </c>
      <c r="I968">
        <v>10546.79</v>
      </c>
      <c r="J968">
        <v>10546.79</v>
      </c>
      <c r="K968">
        <v>1123.21</v>
      </c>
      <c r="L968">
        <v>1123.21</v>
      </c>
      <c r="M968" t="s">
        <v>19</v>
      </c>
      <c r="N968">
        <v>116</v>
      </c>
    </row>
    <row r="969" spans="1:14" x14ac:dyDescent="0.35">
      <c r="A969">
        <v>100968</v>
      </c>
      <c r="B969">
        <v>97844</v>
      </c>
      <c r="C969" t="s">
        <v>337</v>
      </c>
      <c r="D969" t="s">
        <v>65</v>
      </c>
      <c r="E969" t="s">
        <v>22</v>
      </c>
      <c r="F969" t="s">
        <v>27</v>
      </c>
      <c r="G969" t="s">
        <v>28</v>
      </c>
      <c r="H969">
        <v>2134</v>
      </c>
      <c r="I969">
        <v>1798.67</v>
      </c>
      <c r="J969">
        <v>0</v>
      </c>
      <c r="K969">
        <v>335.33</v>
      </c>
      <c r="L969">
        <v>2134</v>
      </c>
      <c r="M969" t="s">
        <v>62</v>
      </c>
      <c r="N969">
        <v>158</v>
      </c>
    </row>
    <row r="970" spans="1:14" x14ac:dyDescent="0.35">
      <c r="A970">
        <v>100969</v>
      </c>
      <c r="B970">
        <v>46270</v>
      </c>
      <c r="C970" t="s">
        <v>470</v>
      </c>
      <c r="D970" t="s">
        <v>49</v>
      </c>
      <c r="E970" t="s">
        <v>31</v>
      </c>
      <c r="F970" t="s">
        <v>27</v>
      </c>
      <c r="G970" t="s">
        <v>45</v>
      </c>
      <c r="H970">
        <v>1664</v>
      </c>
      <c r="I970">
        <v>1139.67</v>
      </c>
      <c r="J970">
        <v>948.39</v>
      </c>
      <c r="K970">
        <v>524.33000000000004</v>
      </c>
      <c r="L970">
        <v>715.61</v>
      </c>
      <c r="M970" t="s">
        <v>39</v>
      </c>
      <c r="N970">
        <v>179</v>
      </c>
    </row>
    <row r="971" spans="1:14" x14ac:dyDescent="0.35">
      <c r="A971">
        <v>100970</v>
      </c>
      <c r="B971">
        <v>33187</v>
      </c>
      <c r="C971" t="s">
        <v>576</v>
      </c>
      <c r="D971" t="s">
        <v>15</v>
      </c>
      <c r="E971" t="s">
        <v>56</v>
      </c>
      <c r="F971" t="s">
        <v>23</v>
      </c>
      <c r="G971" t="s">
        <v>18</v>
      </c>
      <c r="H971">
        <v>12822</v>
      </c>
      <c r="I971">
        <v>9716.2900000000009</v>
      </c>
      <c r="J971">
        <v>0</v>
      </c>
      <c r="K971">
        <v>3105.71</v>
      </c>
      <c r="L971">
        <v>12822</v>
      </c>
      <c r="M971" t="s">
        <v>62</v>
      </c>
      <c r="N971">
        <v>79</v>
      </c>
    </row>
    <row r="972" spans="1:14" x14ac:dyDescent="0.35">
      <c r="A972">
        <v>100971</v>
      </c>
      <c r="B972">
        <v>84060</v>
      </c>
      <c r="C972" t="s">
        <v>537</v>
      </c>
      <c r="D972" t="s">
        <v>21</v>
      </c>
      <c r="E972" t="s">
        <v>37</v>
      </c>
      <c r="F972" t="s">
        <v>17</v>
      </c>
      <c r="G972" t="s">
        <v>38</v>
      </c>
      <c r="H972">
        <v>23896</v>
      </c>
      <c r="I972">
        <v>18732.43</v>
      </c>
      <c r="J972">
        <v>18732.43</v>
      </c>
      <c r="K972">
        <v>5163.57</v>
      </c>
      <c r="L972">
        <v>5163.57</v>
      </c>
      <c r="M972" t="s">
        <v>19</v>
      </c>
      <c r="N972">
        <v>105</v>
      </c>
    </row>
    <row r="973" spans="1:14" x14ac:dyDescent="0.35">
      <c r="A973">
        <v>100972</v>
      </c>
      <c r="B973">
        <v>65728</v>
      </c>
      <c r="C973" t="s">
        <v>577</v>
      </c>
      <c r="D973" t="s">
        <v>49</v>
      </c>
      <c r="E973" t="s">
        <v>26</v>
      </c>
      <c r="F973" t="s">
        <v>17</v>
      </c>
      <c r="G973" t="s">
        <v>24</v>
      </c>
      <c r="H973">
        <v>386</v>
      </c>
      <c r="I973">
        <v>274.60000000000002</v>
      </c>
      <c r="J973">
        <v>10.76</v>
      </c>
      <c r="K973">
        <v>111.4</v>
      </c>
      <c r="L973">
        <v>375.24</v>
      </c>
      <c r="M973" t="s">
        <v>50</v>
      </c>
      <c r="N973">
        <v>36</v>
      </c>
    </row>
    <row r="974" spans="1:14" x14ac:dyDescent="0.35">
      <c r="A974">
        <v>100973</v>
      </c>
      <c r="B974">
        <v>49868</v>
      </c>
      <c r="C974" t="s">
        <v>278</v>
      </c>
      <c r="D974" t="s">
        <v>49</v>
      </c>
      <c r="E974" t="s">
        <v>26</v>
      </c>
      <c r="F974" t="s">
        <v>61</v>
      </c>
      <c r="G974" t="s">
        <v>24</v>
      </c>
      <c r="H974">
        <v>24657</v>
      </c>
      <c r="I974">
        <v>13810.85</v>
      </c>
      <c r="J974">
        <v>13810.85</v>
      </c>
      <c r="K974">
        <v>10846.15</v>
      </c>
      <c r="L974">
        <v>10846.15</v>
      </c>
      <c r="M974" t="s">
        <v>19</v>
      </c>
      <c r="N974">
        <v>130</v>
      </c>
    </row>
    <row r="975" spans="1:14" x14ac:dyDescent="0.35">
      <c r="A975">
        <v>100974</v>
      </c>
      <c r="B975">
        <v>30691</v>
      </c>
      <c r="C975" t="s">
        <v>279</v>
      </c>
      <c r="D975" t="s">
        <v>49</v>
      </c>
      <c r="E975" t="s">
        <v>56</v>
      </c>
      <c r="F975" t="s">
        <v>44</v>
      </c>
      <c r="G975" t="s">
        <v>28</v>
      </c>
      <c r="H975">
        <v>6712</v>
      </c>
      <c r="I975">
        <v>4060.14</v>
      </c>
      <c r="J975">
        <v>4060.14</v>
      </c>
      <c r="K975">
        <v>2651.86</v>
      </c>
      <c r="L975">
        <v>2651.86</v>
      </c>
      <c r="M975" t="s">
        <v>19</v>
      </c>
      <c r="N975">
        <v>34</v>
      </c>
    </row>
    <row r="976" spans="1:14" x14ac:dyDescent="0.35">
      <c r="A976">
        <v>100975</v>
      </c>
      <c r="B976">
        <v>93772</v>
      </c>
      <c r="C976" t="s">
        <v>578</v>
      </c>
      <c r="D976" t="s">
        <v>49</v>
      </c>
      <c r="E976" t="s">
        <v>16</v>
      </c>
      <c r="F976" t="s">
        <v>61</v>
      </c>
      <c r="G976" t="s">
        <v>38</v>
      </c>
      <c r="H976">
        <v>10726</v>
      </c>
      <c r="I976">
        <v>6391.31</v>
      </c>
      <c r="J976">
        <v>6391.31</v>
      </c>
      <c r="K976">
        <v>4334.6899999999996</v>
      </c>
      <c r="L976">
        <v>4334.6899999999996</v>
      </c>
      <c r="M976" t="s">
        <v>19</v>
      </c>
      <c r="N976">
        <v>65</v>
      </c>
    </row>
    <row r="977" spans="1:14" x14ac:dyDescent="0.35">
      <c r="A977">
        <v>100976</v>
      </c>
      <c r="B977">
        <v>50020</v>
      </c>
      <c r="C977" t="s">
        <v>351</v>
      </c>
      <c r="D977" t="s">
        <v>30</v>
      </c>
      <c r="E977" t="s">
        <v>41</v>
      </c>
      <c r="F977" t="s">
        <v>61</v>
      </c>
      <c r="G977" t="s">
        <v>72</v>
      </c>
      <c r="H977">
        <v>3819</v>
      </c>
      <c r="I977">
        <v>2568.02</v>
      </c>
      <c r="J977">
        <v>2568.02</v>
      </c>
      <c r="K977">
        <v>1250.98</v>
      </c>
      <c r="L977">
        <v>1250.98</v>
      </c>
      <c r="M977" t="s">
        <v>19</v>
      </c>
      <c r="N977">
        <v>109</v>
      </c>
    </row>
    <row r="978" spans="1:14" x14ac:dyDescent="0.35">
      <c r="A978">
        <v>100977</v>
      </c>
      <c r="B978">
        <v>17543</v>
      </c>
      <c r="C978" t="s">
        <v>432</v>
      </c>
      <c r="D978" t="s">
        <v>21</v>
      </c>
      <c r="E978" t="s">
        <v>26</v>
      </c>
      <c r="F978" t="s">
        <v>35</v>
      </c>
      <c r="G978" t="s">
        <v>45</v>
      </c>
      <c r="H978">
        <v>7955</v>
      </c>
      <c r="I978">
        <v>4611.57</v>
      </c>
      <c r="J978">
        <v>21.44</v>
      </c>
      <c r="K978">
        <v>3343.43</v>
      </c>
      <c r="L978">
        <v>7933.56</v>
      </c>
      <c r="M978" t="s">
        <v>50</v>
      </c>
      <c r="N978">
        <v>53</v>
      </c>
    </row>
    <row r="979" spans="1:14" x14ac:dyDescent="0.35">
      <c r="A979">
        <v>100978</v>
      </c>
      <c r="B979">
        <v>14247</v>
      </c>
      <c r="C979" t="s">
        <v>532</v>
      </c>
      <c r="D979" t="s">
        <v>21</v>
      </c>
      <c r="E979" t="s">
        <v>26</v>
      </c>
      <c r="F979" t="s">
        <v>17</v>
      </c>
      <c r="G979" t="s">
        <v>28</v>
      </c>
      <c r="H979">
        <v>24625</v>
      </c>
      <c r="I979">
        <v>18835.82</v>
      </c>
      <c r="J979">
        <v>18835.82</v>
      </c>
      <c r="K979">
        <v>5789.18</v>
      </c>
      <c r="L979">
        <v>5789.18</v>
      </c>
      <c r="M979" t="s">
        <v>19</v>
      </c>
      <c r="N979">
        <v>179</v>
      </c>
    </row>
    <row r="980" spans="1:14" x14ac:dyDescent="0.35">
      <c r="A980">
        <v>100979</v>
      </c>
      <c r="B980">
        <v>39553</v>
      </c>
      <c r="C980" t="s">
        <v>579</v>
      </c>
      <c r="D980" t="s">
        <v>49</v>
      </c>
      <c r="E980" t="s">
        <v>16</v>
      </c>
      <c r="F980" t="s">
        <v>44</v>
      </c>
      <c r="G980" t="s">
        <v>28</v>
      </c>
      <c r="H980">
        <v>11595</v>
      </c>
      <c r="I980">
        <v>9772.09</v>
      </c>
      <c r="J980">
        <v>2040.33</v>
      </c>
      <c r="K980">
        <v>1822.91</v>
      </c>
      <c r="L980">
        <v>9554.67</v>
      </c>
      <c r="M980" t="s">
        <v>50</v>
      </c>
      <c r="N980">
        <v>36</v>
      </c>
    </row>
    <row r="981" spans="1:14" x14ac:dyDescent="0.35">
      <c r="A981">
        <v>100980</v>
      </c>
      <c r="B981">
        <v>56491</v>
      </c>
      <c r="C981" t="s">
        <v>395</v>
      </c>
      <c r="D981" t="s">
        <v>15</v>
      </c>
      <c r="E981" t="s">
        <v>31</v>
      </c>
      <c r="F981" t="s">
        <v>27</v>
      </c>
      <c r="G981" t="s">
        <v>47</v>
      </c>
      <c r="H981">
        <v>11863</v>
      </c>
      <c r="I981">
        <v>6604.67</v>
      </c>
      <c r="J981">
        <v>6604.67</v>
      </c>
      <c r="K981">
        <v>5258.33</v>
      </c>
      <c r="L981">
        <v>5258.33</v>
      </c>
      <c r="M981" t="s">
        <v>19</v>
      </c>
      <c r="N981">
        <v>46</v>
      </c>
    </row>
    <row r="982" spans="1:14" x14ac:dyDescent="0.35">
      <c r="A982">
        <v>100981</v>
      </c>
      <c r="B982">
        <v>88187</v>
      </c>
      <c r="C982" t="s">
        <v>505</v>
      </c>
      <c r="D982" t="s">
        <v>52</v>
      </c>
      <c r="E982" t="s">
        <v>16</v>
      </c>
      <c r="F982" t="s">
        <v>35</v>
      </c>
      <c r="G982" t="s">
        <v>47</v>
      </c>
      <c r="H982">
        <v>6948</v>
      </c>
      <c r="I982">
        <v>4231.57</v>
      </c>
      <c r="J982">
        <v>0</v>
      </c>
      <c r="K982">
        <v>2716.43</v>
      </c>
      <c r="L982">
        <v>6948</v>
      </c>
      <c r="M982" t="s">
        <v>62</v>
      </c>
      <c r="N982">
        <v>64</v>
      </c>
    </row>
    <row r="983" spans="1:14" x14ac:dyDescent="0.35">
      <c r="A983">
        <v>100982</v>
      </c>
      <c r="B983">
        <v>11210</v>
      </c>
      <c r="C983" t="s">
        <v>580</v>
      </c>
      <c r="D983" t="s">
        <v>52</v>
      </c>
      <c r="E983" t="s">
        <v>22</v>
      </c>
      <c r="F983" t="s">
        <v>61</v>
      </c>
      <c r="G983" t="s">
        <v>72</v>
      </c>
      <c r="H983">
        <v>24117</v>
      </c>
      <c r="I983">
        <v>18839.150000000001</v>
      </c>
      <c r="J983">
        <v>8208.42</v>
      </c>
      <c r="K983">
        <v>5277.85</v>
      </c>
      <c r="L983">
        <v>15908.58</v>
      </c>
      <c r="M983" t="s">
        <v>39</v>
      </c>
      <c r="N983">
        <v>132</v>
      </c>
    </row>
    <row r="984" spans="1:14" x14ac:dyDescent="0.35">
      <c r="A984">
        <v>100983</v>
      </c>
      <c r="B984">
        <v>54671</v>
      </c>
      <c r="C984" t="s">
        <v>581</v>
      </c>
      <c r="D984" t="s">
        <v>34</v>
      </c>
      <c r="E984" t="s">
        <v>41</v>
      </c>
      <c r="F984" t="s">
        <v>23</v>
      </c>
      <c r="G984" t="s">
        <v>18</v>
      </c>
      <c r="H984">
        <v>6687</v>
      </c>
      <c r="I984">
        <v>5652.55</v>
      </c>
      <c r="J984">
        <v>0</v>
      </c>
      <c r="K984">
        <v>1034.45</v>
      </c>
      <c r="L984">
        <v>6687</v>
      </c>
      <c r="M984" t="s">
        <v>62</v>
      </c>
      <c r="N984">
        <v>46</v>
      </c>
    </row>
    <row r="985" spans="1:14" x14ac:dyDescent="0.35">
      <c r="A985">
        <v>100984</v>
      </c>
      <c r="B985">
        <v>47947</v>
      </c>
      <c r="C985" t="s">
        <v>91</v>
      </c>
      <c r="D985" t="s">
        <v>34</v>
      </c>
      <c r="E985" t="s">
        <v>22</v>
      </c>
      <c r="F985" t="s">
        <v>35</v>
      </c>
      <c r="G985" t="s">
        <v>45</v>
      </c>
      <c r="H985">
        <v>14319</v>
      </c>
      <c r="I985">
        <v>11068.16</v>
      </c>
      <c r="J985">
        <v>0</v>
      </c>
      <c r="K985">
        <v>3250.84</v>
      </c>
      <c r="L985">
        <v>14319</v>
      </c>
      <c r="M985" t="s">
        <v>62</v>
      </c>
      <c r="N985">
        <v>10</v>
      </c>
    </row>
    <row r="986" spans="1:14" x14ac:dyDescent="0.35">
      <c r="A986">
        <v>100985</v>
      </c>
      <c r="B986">
        <v>59757</v>
      </c>
      <c r="C986" t="s">
        <v>534</v>
      </c>
      <c r="D986" t="s">
        <v>52</v>
      </c>
      <c r="E986" t="s">
        <v>31</v>
      </c>
      <c r="F986" t="s">
        <v>35</v>
      </c>
      <c r="G986" t="s">
        <v>72</v>
      </c>
      <c r="H986">
        <v>3765</v>
      </c>
      <c r="I986">
        <v>3572.54</v>
      </c>
      <c r="J986">
        <v>3572.54</v>
      </c>
      <c r="K986">
        <v>192.46</v>
      </c>
      <c r="L986">
        <v>192.46</v>
      </c>
      <c r="M986" t="s">
        <v>19</v>
      </c>
      <c r="N986">
        <v>91</v>
      </c>
    </row>
    <row r="987" spans="1:14" x14ac:dyDescent="0.35">
      <c r="A987">
        <v>100986</v>
      </c>
      <c r="B987">
        <v>51083</v>
      </c>
      <c r="C987" t="s">
        <v>171</v>
      </c>
      <c r="D987" t="s">
        <v>30</v>
      </c>
      <c r="E987" t="s">
        <v>16</v>
      </c>
      <c r="F987" t="s">
        <v>23</v>
      </c>
      <c r="G987" t="s">
        <v>45</v>
      </c>
      <c r="H987">
        <v>5663</v>
      </c>
      <c r="I987">
        <v>3246.61</v>
      </c>
      <c r="J987">
        <v>1401.87</v>
      </c>
      <c r="K987">
        <v>2416.39</v>
      </c>
      <c r="L987">
        <v>4261.13</v>
      </c>
      <c r="M987" t="s">
        <v>39</v>
      </c>
      <c r="N987">
        <v>176</v>
      </c>
    </row>
    <row r="988" spans="1:14" x14ac:dyDescent="0.35">
      <c r="A988">
        <v>100987</v>
      </c>
      <c r="B988">
        <v>72764</v>
      </c>
      <c r="C988" t="s">
        <v>309</v>
      </c>
      <c r="D988" t="s">
        <v>52</v>
      </c>
      <c r="E988" t="s">
        <v>56</v>
      </c>
      <c r="F988" t="s">
        <v>61</v>
      </c>
      <c r="G988" t="s">
        <v>38</v>
      </c>
      <c r="H988">
        <v>6037</v>
      </c>
      <c r="I988">
        <v>3724.22</v>
      </c>
      <c r="J988">
        <v>3724.22</v>
      </c>
      <c r="K988">
        <v>2312.7800000000002</v>
      </c>
      <c r="L988">
        <v>2312.7800000000002</v>
      </c>
      <c r="M988" t="s">
        <v>19</v>
      </c>
      <c r="N988">
        <v>131</v>
      </c>
    </row>
    <row r="989" spans="1:14" x14ac:dyDescent="0.35">
      <c r="A989">
        <v>100988</v>
      </c>
      <c r="B989">
        <v>42712</v>
      </c>
      <c r="C989" t="s">
        <v>263</v>
      </c>
      <c r="D989" t="s">
        <v>21</v>
      </c>
      <c r="E989" t="s">
        <v>56</v>
      </c>
      <c r="F989" t="s">
        <v>54</v>
      </c>
      <c r="G989" t="s">
        <v>18</v>
      </c>
      <c r="H989">
        <v>21098</v>
      </c>
      <c r="I989">
        <v>13645.25</v>
      </c>
      <c r="J989">
        <v>13645.25</v>
      </c>
      <c r="K989">
        <v>7452.75</v>
      </c>
      <c r="L989">
        <v>7452.75</v>
      </c>
      <c r="M989" t="s">
        <v>19</v>
      </c>
      <c r="N989">
        <v>82</v>
      </c>
    </row>
    <row r="990" spans="1:14" x14ac:dyDescent="0.35">
      <c r="A990">
        <v>100989</v>
      </c>
      <c r="B990">
        <v>59322</v>
      </c>
      <c r="C990" t="s">
        <v>582</v>
      </c>
      <c r="D990" t="s">
        <v>65</v>
      </c>
      <c r="E990" t="s">
        <v>56</v>
      </c>
      <c r="F990" t="s">
        <v>44</v>
      </c>
      <c r="G990" t="s">
        <v>28</v>
      </c>
      <c r="H990">
        <v>3936</v>
      </c>
      <c r="I990">
        <v>3502.36</v>
      </c>
      <c r="J990">
        <v>3502.36</v>
      </c>
      <c r="K990">
        <v>433.64</v>
      </c>
      <c r="L990">
        <v>433.64</v>
      </c>
      <c r="M990" t="s">
        <v>19</v>
      </c>
      <c r="N990">
        <v>161</v>
      </c>
    </row>
    <row r="991" spans="1:14" x14ac:dyDescent="0.35">
      <c r="A991">
        <v>100990</v>
      </c>
      <c r="B991">
        <v>30562</v>
      </c>
      <c r="C991" t="s">
        <v>583</v>
      </c>
      <c r="D991" t="s">
        <v>21</v>
      </c>
      <c r="E991" t="s">
        <v>22</v>
      </c>
      <c r="F991" t="s">
        <v>17</v>
      </c>
      <c r="G991" t="s">
        <v>18</v>
      </c>
      <c r="H991">
        <v>12539</v>
      </c>
      <c r="I991">
        <v>11728.46</v>
      </c>
      <c r="J991">
        <v>8464.5</v>
      </c>
      <c r="K991">
        <v>810.54</v>
      </c>
      <c r="L991">
        <v>4074.5</v>
      </c>
      <c r="M991" t="s">
        <v>39</v>
      </c>
      <c r="N991">
        <v>132</v>
      </c>
    </row>
    <row r="992" spans="1:14" x14ac:dyDescent="0.35">
      <c r="A992">
        <v>100991</v>
      </c>
      <c r="B992">
        <v>69842</v>
      </c>
      <c r="C992" t="s">
        <v>244</v>
      </c>
      <c r="D992" t="s">
        <v>52</v>
      </c>
      <c r="E992" t="s">
        <v>41</v>
      </c>
      <c r="F992" t="s">
        <v>54</v>
      </c>
      <c r="G992" t="s">
        <v>18</v>
      </c>
      <c r="H992">
        <v>5529</v>
      </c>
      <c r="I992">
        <v>3347.73</v>
      </c>
      <c r="J992">
        <v>768.33</v>
      </c>
      <c r="K992">
        <v>2181.27</v>
      </c>
      <c r="L992">
        <v>4760.67</v>
      </c>
      <c r="M992" t="s">
        <v>50</v>
      </c>
      <c r="N992">
        <v>29</v>
      </c>
    </row>
    <row r="993" spans="1:14" x14ac:dyDescent="0.35">
      <c r="A993">
        <v>100992</v>
      </c>
      <c r="B993">
        <v>39746</v>
      </c>
      <c r="C993" t="s">
        <v>584</v>
      </c>
      <c r="D993" t="s">
        <v>65</v>
      </c>
      <c r="E993" t="s">
        <v>16</v>
      </c>
      <c r="F993" t="s">
        <v>27</v>
      </c>
      <c r="G993" t="s">
        <v>72</v>
      </c>
      <c r="H993">
        <v>19483</v>
      </c>
      <c r="I993">
        <v>15889.25</v>
      </c>
      <c r="J993">
        <v>10968.47</v>
      </c>
      <c r="K993">
        <v>3593.75</v>
      </c>
      <c r="L993">
        <v>8514.5300000000007</v>
      </c>
      <c r="M993" t="s">
        <v>39</v>
      </c>
      <c r="N993">
        <v>176</v>
      </c>
    </row>
    <row r="994" spans="1:14" x14ac:dyDescent="0.35">
      <c r="A994">
        <v>100993</v>
      </c>
      <c r="B994">
        <v>60429</v>
      </c>
      <c r="C994" t="s">
        <v>213</v>
      </c>
      <c r="D994" t="s">
        <v>15</v>
      </c>
      <c r="E994" t="s">
        <v>26</v>
      </c>
      <c r="F994" t="s">
        <v>27</v>
      </c>
      <c r="G994" t="s">
        <v>38</v>
      </c>
      <c r="H994">
        <v>6639</v>
      </c>
      <c r="I994">
        <v>4885.1899999999996</v>
      </c>
      <c r="J994">
        <v>1004.78</v>
      </c>
      <c r="K994">
        <v>1753.81</v>
      </c>
      <c r="L994">
        <v>5634.22</v>
      </c>
      <c r="M994" t="s">
        <v>50</v>
      </c>
      <c r="N994">
        <v>64</v>
      </c>
    </row>
    <row r="995" spans="1:14" x14ac:dyDescent="0.35">
      <c r="A995">
        <v>100994</v>
      </c>
      <c r="B995">
        <v>50982</v>
      </c>
      <c r="C995" t="s">
        <v>204</v>
      </c>
      <c r="D995" t="s">
        <v>30</v>
      </c>
      <c r="E995" t="s">
        <v>37</v>
      </c>
      <c r="F995" t="s">
        <v>54</v>
      </c>
      <c r="G995" t="s">
        <v>18</v>
      </c>
      <c r="H995">
        <v>16014</v>
      </c>
      <c r="I995">
        <v>10698.36</v>
      </c>
      <c r="J995">
        <v>0</v>
      </c>
      <c r="K995">
        <v>5315.64</v>
      </c>
      <c r="L995">
        <v>16014</v>
      </c>
      <c r="M995" t="s">
        <v>62</v>
      </c>
      <c r="N995">
        <v>166</v>
      </c>
    </row>
    <row r="996" spans="1:14" x14ac:dyDescent="0.35">
      <c r="A996">
        <v>100995</v>
      </c>
      <c r="B996">
        <v>42113</v>
      </c>
      <c r="C996" t="s">
        <v>405</v>
      </c>
      <c r="D996" t="s">
        <v>30</v>
      </c>
      <c r="E996" t="s">
        <v>16</v>
      </c>
      <c r="F996" t="s">
        <v>27</v>
      </c>
      <c r="G996" t="s">
        <v>38</v>
      </c>
      <c r="H996">
        <v>4129</v>
      </c>
      <c r="I996">
        <v>2674.23</v>
      </c>
      <c r="J996">
        <v>2674.23</v>
      </c>
      <c r="K996">
        <v>1454.77</v>
      </c>
      <c r="L996">
        <v>1454.77</v>
      </c>
      <c r="M996" t="s">
        <v>19</v>
      </c>
      <c r="N996">
        <v>55</v>
      </c>
    </row>
    <row r="997" spans="1:14" x14ac:dyDescent="0.35">
      <c r="A997">
        <v>100996</v>
      </c>
      <c r="B997">
        <v>59800</v>
      </c>
      <c r="C997" t="s">
        <v>167</v>
      </c>
      <c r="D997" t="s">
        <v>15</v>
      </c>
      <c r="E997" t="s">
        <v>16</v>
      </c>
      <c r="F997" t="s">
        <v>54</v>
      </c>
      <c r="G997" t="s">
        <v>38</v>
      </c>
      <c r="H997">
        <v>20923</v>
      </c>
      <c r="I997">
        <v>19101.98</v>
      </c>
      <c r="J997">
        <v>0</v>
      </c>
      <c r="K997">
        <v>1821.02</v>
      </c>
      <c r="L997">
        <v>20923</v>
      </c>
      <c r="M997" t="s">
        <v>62</v>
      </c>
      <c r="N997">
        <v>44</v>
      </c>
    </row>
    <row r="998" spans="1:14" x14ac:dyDescent="0.35">
      <c r="A998">
        <v>100997</v>
      </c>
      <c r="B998">
        <v>77313</v>
      </c>
      <c r="C998" t="s">
        <v>289</v>
      </c>
      <c r="D998" t="s">
        <v>34</v>
      </c>
      <c r="E998" t="s">
        <v>16</v>
      </c>
      <c r="F998" t="s">
        <v>23</v>
      </c>
      <c r="G998" t="s">
        <v>38</v>
      </c>
      <c r="H998">
        <v>12542</v>
      </c>
      <c r="I998">
        <v>7664.48</v>
      </c>
      <c r="J998">
        <v>0</v>
      </c>
      <c r="K998">
        <v>4877.5200000000004</v>
      </c>
      <c r="L998">
        <v>12542</v>
      </c>
      <c r="M998" t="s">
        <v>62</v>
      </c>
      <c r="N998">
        <v>16</v>
      </c>
    </row>
    <row r="999" spans="1:14" x14ac:dyDescent="0.35">
      <c r="A999">
        <v>100998</v>
      </c>
      <c r="B999">
        <v>11545</v>
      </c>
      <c r="C999" t="s">
        <v>90</v>
      </c>
      <c r="D999" t="s">
        <v>52</v>
      </c>
      <c r="E999" t="s">
        <v>56</v>
      </c>
      <c r="F999" t="s">
        <v>17</v>
      </c>
      <c r="G999" t="s">
        <v>24</v>
      </c>
      <c r="H999">
        <v>23704</v>
      </c>
      <c r="I999">
        <v>19233.7</v>
      </c>
      <c r="J999">
        <v>8794.81</v>
      </c>
      <c r="K999">
        <v>4470.3</v>
      </c>
      <c r="L999">
        <v>14909.19</v>
      </c>
      <c r="M999" t="s">
        <v>39</v>
      </c>
      <c r="N999">
        <v>5</v>
      </c>
    </row>
    <row r="1000" spans="1:14" x14ac:dyDescent="0.35">
      <c r="A1000">
        <v>100999</v>
      </c>
      <c r="B1000">
        <v>79620</v>
      </c>
      <c r="C1000" t="s">
        <v>167</v>
      </c>
      <c r="D1000" t="s">
        <v>49</v>
      </c>
      <c r="E1000" t="s">
        <v>43</v>
      </c>
      <c r="F1000" t="s">
        <v>32</v>
      </c>
      <c r="G1000" t="s">
        <v>28</v>
      </c>
      <c r="H1000">
        <v>19635</v>
      </c>
      <c r="I1000">
        <v>11965.01</v>
      </c>
      <c r="J1000">
        <v>11965.01</v>
      </c>
      <c r="K1000">
        <v>7669.99</v>
      </c>
      <c r="L1000">
        <v>7669.99</v>
      </c>
      <c r="M1000" t="s">
        <v>19</v>
      </c>
      <c r="N1000">
        <v>117</v>
      </c>
    </row>
    <row r="1001" spans="1:14" x14ac:dyDescent="0.35">
      <c r="A1001">
        <v>101000</v>
      </c>
      <c r="B1001">
        <v>87302</v>
      </c>
      <c r="C1001" t="s">
        <v>585</v>
      </c>
      <c r="D1001" t="s">
        <v>52</v>
      </c>
      <c r="E1001" t="s">
        <v>16</v>
      </c>
      <c r="F1001" t="s">
        <v>61</v>
      </c>
      <c r="G1001" t="s">
        <v>45</v>
      </c>
      <c r="H1001">
        <v>4249</v>
      </c>
      <c r="I1001">
        <v>3483.6</v>
      </c>
      <c r="J1001">
        <v>3483.6</v>
      </c>
      <c r="K1001">
        <v>765.4</v>
      </c>
      <c r="L1001">
        <v>765.4</v>
      </c>
      <c r="M1001" t="s">
        <v>19</v>
      </c>
      <c r="N1001">
        <v>118</v>
      </c>
    </row>
    <row r="1002" spans="1:14" x14ac:dyDescent="0.35">
      <c r="A1002">
        <v>101001</v>
      </c>
      <c r="B1002">
        <v>53498</v>
      </c>
      <c r="C1002" t="s">
        <v>498</v>
      </c>
      <c r="D1002" t="s">
        <v>15</v>
      </c>
      <c r="E1002" t="s">
        <v>56</v>
      </c>
      <c r="F1002" t="s">
        <v>61</v>
      </c>
      <c r="G1002" t="s">
        <v>72</v>
      </c>
      <c r="H1002">
        <v>1754</v>
      </c>
      <c r="I1002">
        <v>1422.42</v>
      </c>
      <c r="J1002">
        <v>0</v>
      </c>
      <c r="K1002">
        <v>331.58</v>
      </c>
      <c r="L1002">
        <v>1754</v>
      </c>
      <c r="M1002" t="s">
        <v>62</v>
      </c>
      <c r="N1002">
        <v>156</v>
      </c>
    </row>
    <row r="1003" spans="1:14" x14ac:dyDescent="0.35">
      <c r="A1003">
        <v>101002</v>
      </c>
      <c r="B1003">
        <v>59920</v>
      </c>
      <c r="C1003" t="s">
        <v>367</v>
      </c>
      <c r="D1003" t="s">
        <v>52</v>
      </c>
      <c r="E1003" t="s">
        <v>16</v>
      </c>
      <c r="F1003" t="s">
        <v>61</v>
      </c>
      <c r="G1003" t="s">
        <v>28</v>
      </c>
      <c r="H1003">
        <v>20156</v>
      </c>
      <c r="I1003">
        <v>12271.92</v>
      </c>
      <c r="J1003">
        <v>12271.92</v>
      </c>
      <c r="K1003">
        <v>7884.08</v>
      </c>
      <c r="L1003">
        <v>7884.08</v>
      </c>
      <c r="M1003" t="s">
        <v>19</v>
      </c>
      <c r="N1003">
        <v>101</v>
      </c>
    </row>
    <row r="1004" spans="1:14" x14ac:dyDescent="0.35">
      <c r="A1004">
        <v>101003</v>
      </c>
      <c r="B1004">
        <v>97446</v>
      </c>
      <c r="C1004" t="s">
        <v>444</v>
      </c>
      <c r="D1004" t="s">
        <v>52</v>
      </c>
      <c r="E1004" t="s">
        <v>37</v>
      </c>
      <c r="F1004" t="s">
        <v>54</v>
      </c>
      <c r="G1004" t="s">
        <v>24</v>
      </c>
      <c r="H1004">
        <v>23569</v>
      </c>
      <c r="I1004">
        <v>18856.419999999998</v>
      </c>
      <c r="J1004">
        <v>18856.419999999998</v>
      </c>
      <c r="K1004">
        <v>4712.58</v>
      </c>
      <c r="L1004">
        <v>4712.58</v>
      </c>
      <c r="M1004" t="s">
        <v>19</v>
      </c>
      <c r="N1004">
        <v>1</v>
      </c>
    </row>
    <row r="1005" spans="1:14" x14ac:dyDescent="0.35">
      <c r="A1005">
        <v>101004</v>
      </c>
      <c r="B1005">
        <v>96441</v>
      </c>
      <c r="C1005" t="s">
        <v>267</v>
      </c>
      <c r="D1005" t="s">
        <v>21</v>
      </c>
      <c r="E1005" t="s">
        <v>26</v>
      </c>
      <c r="F1005" t="s">
        <v>23</v>
      </c>
      <c r="G1005" t="s">
        <v>47</v>
      </c>
      <c r="H1005">
        <v>14964</v>
      </c>
      <c r="I1005">
        <v>11898</v>
      </c>
      <c r="J1005">
        <v>11898</v>
      </c>
      <c r="K1005">
        <v>3066</v>
      </c>
      <c r="L1005">
        <v>3066</v>
      </c>
      <c r="M1005" t="s">
        <v>19</v>
      </c>
      <c r="N1005">
        <v>60</v>
      </c>
    </row>
    <row r="1006" spans="1:14" x14ac:dyDescent="0.35">
      <c r="A1006">
        <v>101005</v>
      </c>
      <c r="B1006">
        <v>41163</v>
      </c>
      <c r="C1006" t="s">
        <v>586</v>
      </c>
      <c r="D1006" t="s">
        <v>65</v>
      </c>
      <c r="E1006" t="s">
        <v>41</v>
      </c>
      <c r="F1006" t="s">
        <v>44</v>
      </c>
      <c r="G1006" t="s">
        <v>24</v>
      </c>
      <c r="H1006">
        <v>14790</v>
      </c>
      <c r="I1006">
        <v>8289.15</v>
      </c>
      <c r="J1006">
        <v>7226.29</v>
      </c>
      <c r="K1006">
        <v>6500.85</v>
      </c>
      <c r="L1006">
        <v>7563.71</v>
      </c>
      <c r="M1006" t="s">
        <v>39</v>
      </c>
      <c r="N1006">
        <v>58</v>
      </c>
    </row>
    <row r="1007" spans="1:14" x14ac:dyDescent="0.35">
      <c r="A1007">
        <v>101006</v>
      </c>
      <c r="B1007">
        <v>75556</v>
      </c>
      <c r="C1007" t="s">
        <v>318</v>
      </c>
      <c r="D1007" t="s">
        <v>52</v>
      </c>
      <c r="E1007" t="s">
        <v>26</v>
      </c>
      <c r="F1007" t="s">
        <v>35</v>
      </c>
      <c r="G1007" t="s">
        <v>47</v>
      </c>
      <c r="H1007">
        <v>16069</v>
      </c>
      <c r="I1007">
        <v>13089.42</v>
      </c>
      <c r="J1007">
        <v>7382.91</v>
      </c>
      <c r="K1007">
        <v>2979.58</v>
      </c>
      <c r="L1007">
        <v>8686.09</v>
      </c>
      <c r="M1007" t="s">
        <v>39</v>
      </c>
      <c r="N1007">
        <v>159</v>
      </c>
    </row>
    <row r="1008" spans="1:14" x14ac:dyDescent="0.35">
      <c r="A1008">
        <v>101007</v>
      </c>
      <c r="B1008">
        <v>75434</v>
      </c>
      <c r="C1008" t="s">
        <v>431</v>
      </c>
      <c r="D1008" t="s">
        <v>30</v>
      </c>
      <c r="E1008" t="s">
        <v>41</v>
      </c>
      <c r="F1008" t="s">
        <v>35</v>
      </c>
      <c r="G1008" t="s">
        <v>24</v>
      </c>
      <c r="H1008">
        <v>22488</v>
      </c>
      <c r="I1008">
        <v>17766.419999999998</v>
      </c>
      <c r="J1008">
        <v>17766.419999999998</v>
      </c>
      <c r="K1008">
        <v>4721.58</v>
      </c>
      <c r="L1008">
        <v>4721.58</v>
      </c>
      <c r="M1008" t="s">
        <v>19</v>
      </c>
      <c r="N1008">
        <v>86</v>
      </c>
    </row>
    <row r="1009" spans="1:14" x14ac:dyDescent="0.35">
      <c r="A1009">
        <v>101008</v>
      </c>
      <c r="B1009">
        <v>69940</v>
      </c>
      <c r="C1009" t="s">
        <v>160</v>
      </c>
      <c r="D1009" t="s">
        <v>30</v>
      </c>
      <c r="E1009" t="s">
        <v>37</v>
      </c>
      <c r="F1009" t="s">
        <v>44</v>
      </c>
      <c r="G1009" t="s">
        <v>47</v>
      </c>
      <c r="H1009">
        <v>18372</v>
      </c>
      <c r="I1009">
        <v>15709.25</v>
      </c>
      <c r="J1009">
        <v>15709.25</v>
      </c>
      <c r="K1009">
        <v>2662.75</v>
      </c>
      <c r="L1009">
        <v>2662.75</v>
      </c>
      <c r="M1009" t="s">
        <v>19</v>
      </c>
      <c r="N1009">
        <v>128</v>
      </c>
    </row>
    <row r="1010" spans="1:14" x14ac:dyDescent="0.35">
      <c r="A1010">
        <v>101009</v>
      </c>
      <c r="B1010">
        <v>83861</v>
      </c>
      <c r="C1010" t="s">
        <v>587</v>
      </c>
      <c r="D1010" t="s">
        <v>52</v>
      </c>
      <c r="E1010" t="s">
        <v>16</v>
      </c>
      <c r="F1010" t="s">
        <v>35</v>
      </c>
      <c r="G1010" t="s">
        <v>38</v>
      </c>
      <c r="H1010">
        <v>18749</v>
      </c>
      <c r="I1010">
        <v>11632.94</v>
      </c>
      <c r="J1010">
        <v>11632.94</v>
      </c>
      <c r="K1010">
        <v>7116.06</v>
      </c>
      <c r="L1010">
        <v>7116.06</v>
      </c>
      <c r="M1010" t="s">
        <v>19</v>
      </c>
      <c r="N1010">
        <v>75</v>
      </c>
    </row>
    <row r="1011" spans="1:14" x14ac:dyDescent="0.35">
      <c r="A1011">
        <v>101010</v>
      </c>
      <c r="B1011">
        <v>77556</v>
      </c>
      <c r="C1011" t="s">
        <v>543</v>
      </c>
      <c r="D1011" t="s">
        <v>30</v>
      </c>
      <c r="E1011" t="s">
        <v>22</v>
      </c>
      <c r="F1011" t="s">
        <v>23</v>
      </c>
      <c r="G1011" t="s">
        <v>24</v>
      </c>
      <c r="H1011">
        <v>8484</v>
      </c>
      <c r="I1011">
        <v>4697.3900000000003</v>
      </c>
      <c r="J1011">
        <v>3936.4</v>
      </c>
      <c r="K1011">
        <v>3786.61</v>
      </c>
      <c r="L1011">
        <v>4547.6000000000004</v>
      </c>
      <c r="M1011" t="s">
        <v>39</v>
      </c>
      <c r="N1011">
        <v>119</v>
      </c>
    </row>
    <row r="1012" spans="1:14" x14ac:dyDescent="0.35">
      <c r="A1012">
        <v>101011</v>
      </c>
      <c r="B1012">
        <v>79065</v>
      </c>
      <c r="C1012" t="s">
        <v>219</v>
      </c>
      <c r="D1012" t="s">
        <v>52</v>
      </c>
      <c r="E1012" t="s">
        <v>22</v>
      </c>
      <c r="F1012" t="s">
        <v>61</v>
      </c>
      <c r="G1012" t="s">
        <v>47</v>
      </c>
      <c r="H1012">
        <v>4626</v>
      </c>
      <c r="I1012">
        <v>2917.16</v>
      </c>
      <c r="J1012">
        <v>2917.16</v>
      </c>
      <c r="K1012">
        <v>1708.84</v>
      </c>
      <c r="L1012">
        <v>1708.84</v>
      </c>
      <c r="M1012" t="s">
        <v>19</v>
      </c>
      <c r="N1012">
        <v>161</v>
      </c>
    </row>
    <row r="1013" spans="1:14" x14ac:dyDescent="0.35">
      <c r="A1013">
        <v>101012</v>
      </c>
      <c r="B1013">
        <v>21426</v>
      </c>
      <c r="C1013" t="s">
        <v>282</v>
      </c>
      <c r="D1013" t="s">
        <v>15</v>
      </c>
      <c r="E1013" t="s">
        <v>26</v>
      </c>
      <c r="F1013" t="s">
        <v>27</v>
      </c>
      <c r="G1013" t="s">
        <v>28</v>
      </c>
      <c r="H1013">
        <v>2498</v>
      </c>
      <c r="I1013">
        <v>1656.08</v>
      </c>
      <c r="J1013">
        <v>1656.08</v>
      </c>
      <c r="K1013">
        <v>841.92</v>
      </c>
      <c r="L1013">
        <v>841.92</v>
      </c>
      <c r="M1013" t="s">
        <v>19</v>
      </c>
      <c r="N1013">
        <v>81</v>
      </c>
    </row>
    <row r="1014" spans="1:14" x14ac:dyDescent="0.35">
      <c r="A1014">
        <v>101013</v>
      </c>
      <c r="B1014">
        <v>82065</v>
      </c>
      <c r="C1014" t="s">
        <v>529</v>
      </c>
      <c r="D1014" t="s">
        <v>21</v>
      </c>
      <c r="E1014" t="s">
        <v>56</v>
      </c>
      <c r="F1014" t="s">
        <v>44</v>
      </c>
      <c r="G1014" t="s">
        <v>28</v>
      </c>
      <c r="H1014">
        <v>15772</v>
      </c>
      <c r="I1014">
        <v>12837.63</v>
      </c>
      <c r="J1014">
        <v>12837.63</v>
      </c>
      <c r="K1014">
        <v>2934.37</v>
      </c>
      <c r="L1014">
        <v>2934.37</v>
      </c>
      <c r="M1014" t="s">
        <v>19</v>
      </c>
      <c r="N1014">
        <v>164</v>
      </c>
    </row>
    <row r="1015" spans="1:14" x14ac:dyDescent="0.35">
      <c r="A1015">
        <v>101014</v>
      </c>
      <c r="B1015">
        <v>65503</v>
      </c>
      <c r="C1015" t="s">
        <v>425</v>
      </c>
      <c r="D1015" t="s">
        <v>52</v>
      </c>
      <c r="E1015" t="s">
        <v>56</v>
      </c>
      <c r="F1015" t="s">
        <v>44</v>
      </c>
      <c r="G1015" t="s">
        <v>38</v>
      </c>
      <c r="H1015">
        <v>6956</v>
      </c>
      <c r="I1015">
        <v>5486.59</v>
      </c>
      <c r="J1015">
        <v>5486.59</v>
      </c>
      <c r="K1015">
        <v>1469.41</v>
      </c>
      <c r="L1015">
        <v>1469.41</v>
      </c>
      <c r="M1015" t="s">
        <v>19</v>
      </c>
      <c r="N1015">
        <v>109</v>
      </c>
    </row>
    <row r="1016" spans="1:14" x14ac:dyDescent="0.35">
      <c r="A1016">
        <v>101015</v>
      </c>
      <c r="B1016">
        <v>30845</v>
      </c>
      <c r="C1016" t="s">
        <v>311</v>
      </c>
      <c r="D1016" t="s">
        <v>49</v>
      </c>
      <c r="E1016" t="s">
        <v>41</v>
      </c>
      <c r="F1016" t="s">
        <v>54</v>
      </c>
      <c r="G1016" t="s">
        <v>24</v>
      </c>
      <c r="H1016">
        <v>4639</v>
      </c>
      <c r="I1016">
        <v>3872.05</v>
      </c>
      <c r="J1016">
        <v>2571.65</v>
      </c>
      <c r="K1016">
        <v>766.95</v>
      </c>
      <c r="L1016">
        <v>2067.35</v>
      </c>
      <c r="M1016" t="s">
        <v>39</v>
      </c>
      <c r="N1016">
        <v>95</v>
      </c>
    </row>
    <row r="1017" spans="1:14" x14ac:dyDescent="0.35">
      <c r="A1017">
        <v>101016</v>
      </c>
      <c r="B1017">
        <v>53854</v>
      </c>
      <c r="C1017" t="s">
        <v>33</v>
      </c>
      <c r="D1017" t="s">
        <v>52</v>
      </c>
      <c r="E1017" t="s">
        <v>37</v>
      </c>
      <c r="F1017" t="s">
        <v>54</v>
      </c>
      <c r="G1017" t="s">
        <v>72</v>
      </c>
      <c r="H1017">
        <v>14994</v>
      </c>
      <c r="I1017">
        <v>12497.6</v>
      </c>
      <c r="J1017">
        <v>12497.6</v>
      </c>
      <c r="K1017">
        <v>2496.4</v>
      </c>
      <c r="L1017">
        <v>2496.4</v>
      </c>
      <c r="M1017" t="s">
        <v>19</v>
      </c>
      <c r="N1017">
        <v>174</v>
      </c>
    </row>
    <row r="1018" spans="1:14" x14ac:dyDescent="0.35">
      <c r="A1018">
        <v>101017</v>
      </c>
      <c r="B1018">
        <v>59468</v>
      </c>
      <c r="C1018" t="s">
        <v>588</v>
      </c>
      <c r="D1018" t="s">
        <v>15</v>
      </c>
      <c r="E1018" t="s">
        <v>16</v>
      </c>
      <c r="F1018" t="s">
        <v>54</v>
      </c>
      <c r="G1018" t="s">
        <v>18</v>
      </c>
      <c r="H1018">
        <v>1904</v>
      </c>
      <c r="I1018">
        <v>1650.32</v>
      </c>
      <c r="J1018">
        <v>1064.0999999999999</v>
      </c>
      <c r="K1018">
        <v>253.68</v>
      </c>
      <c r="L1018">
        <v>839.9</v>
      </c>
      <c r="M1018" t="s">
        <v>39</v>
      </c>
      <c r="N1018">
        <v>44</v>
      </c>
    </row>
    <row r="1019" spans="1:14" x14ac:dyDescent="0.35">
      <c r="A1019">
        <v>101018</v>
      </c>
      <c r="B1019">
        <v>32398</v>
      </c>
      <c r="C1019" t="s">
        <v>29</v>
      </c>
      <c r="D1019" t="s">
        <v>21</v>
      </c>
      <c r="E1019" t="s">
        <v>43</v>
      </c>
      <c r="F1019" t="s">
        <v>17</v>
      </c>
      <c r="G1019" t="s">
        <v>47</v>
      </c>
      <c r="H1019">
        <v>14864</v>
      </c>
      <c r="I1019">
        <v>8307.24</v>
      </c>
      <c r="J1019">
        <v>5401.2</v>
      </c>
      <c r="K1019">
        <v>6556.76</v>
      </c>
      <c r="L1019">
        <v>9462.7999999999993</v>
      </c>
      <c r="M1019" t="s">
        <v>39</v>
      </c>
      <c r="N1019">
        <v>166</v>
      </c>
    </row>
    <row r="1020" spans="1:14" x14ac:dyDescent="0.35">
      <c r="A1020">
        <v>101019</v>
      </c>
      <c r="B1020">
        <v>33970</v>
      </c>
      <c r="C1020" t="s">
        <v>589</v>
      </c>
      <c r="D1020" t="s">
        <v>30</v>
      </c>
      <c r="E1020" t="s">
        <v>43</v>
      </c>
      <c r="F1020" t="s">
        <v>54</v>
      </c>
      <c r="G1020" t="s">
        <v>47</v>
      </c>
      <c r="H1020">
        <v>16941</v>
      </c>
      <c r="I1020">
        <v>13978.46</v>
      </c>
      <c r="J1020">
        <v>13978.46</v>
      </c>
      <c r="K1020">
        <v>2962.54</v>
      </c>
      <c r="L1020">
        <v>2962.54</v>
      </c>
      <c r="M1020" t="s">
        <v>19</v>
      </c>
      <c r="N1020">
        <v>33</v>
      </c>
    </row>
    <row r="1021" spans="1:14" x14ac:dyDescent="0.35">
      <c r="A1021">
        <v>101020</v>
      </c>
      <c r="B1021">
        <v>65464</v>
      </c>
      <c r="C1021" t="s">
        <v>560</v>
      </c>
      <c r="D1021" t="s">
        <v>65</v>
      </c>
      <c r="E1021" t="s">
        <v>41</v>
      </c>
      <c r="F1021" t="s">
        <v>61</v>
      </c>
      <c r="G1021" t="s">
        <v>18</v>
      </c>
      <c r="H1021">
        <v>12279</v>
      </c>
      <c r="I1021">
        <v>8564.17</v>
      </c>
      <c r="J1021">
        <v>8564.17</v>
      </c>
      <c r="K1021">
        <v>3714.83</v>
      </c>
      <c r="L1021">
        <v>3714.83</v>
      </c>
      <c r="M1021" t="s">
        <v>19</v>
      </c>
      <c r="N1021">
        <v>180</v>
      </c>
    </row>
    <row r="1022" spans="1:14" x14ac:dyDescent="0.35">
      <c r="A1022">
        <v>101021</v>
      </c>
      <c r="B1022">
        <v>86117</v>
      </c>
      <c r="C1022" t="s">
        <v>590</v>
      </c>
      <c r="D1022" t="s">
        <v>30</v>
      </c>
      <c r="E1022" t="s">
        <v>31</v>
      </c>
      <c r="F1022" t="s">
        <v>17</v>
      </c>
      <c r="G1022" t="s">
        <v>47</v>
      </c>
      <c r="H1022">
        <v>4255</v>
      </c>
      <c r="I1022">
        <v>2835.36</v>
      </c>
      <c r="J1022">
        <v>2835.36</v>
      </c>
      <c r="K1022">
        <v>1419.64</v>
      </c>
      <c r="L1022">
        <v>1419.64</v>
      </c>
      <c r="M1022" t="s">
        <v>19</v>
      </c>
      <c r="N1022">
        <v>111</v>
      </c>
    </row>
    <row r="1023" spans="1:14" x14ac:dyDescent="0.35">
      <c r="A1023">
        <v>101022</v>
      </c>
      <c r="B1023">
        <v>92091</v>
      </c>
      <c r="C1023" t="s">
        <v>542</v>
      </c>
      <c r="D1023" t="s">
        <v>65</v>
      </c>
      <c r="E1023" t="s">
        <v>31</v>
      </c>
      <c r="F1023" t="s">
        <v>54</v>
      </c>
      <c r="G1023" t="s">
        <v>38</v>
      </c>
      <c r="H1023">
        <v>21428</v>
      </c>
      <c r="I1023">
        <v>16886.939999999999</v>
      </c>
      <c r="J1023">
        <v>16886.939999999999</v>
      </c>
      <c r="K1023">
        <v>4541.0600000000004</v>
      </c>
      <c r="L1023">
        <v>4541.0600000000004</v>
      </c>
      <c r="M1023" t="s">
        <v>19</v>
      </c>
      <c r="N1023">
        <v>150</v>
      </c>
    </row>
    <row r="1024" spans="1:14" x14ac:dyDescent="0.35">
      <c r="A1024">
        <v>101023</v>
      </c>
      <c r="B1024">
        <v>18526</v>
      </c>
      <c r="C1024" t="s">
        <v>417</v>
      </c>
      <c r="D1024" t="s">
        <v>21</v>
      </c>
      <c r="E1024" t="s">
        <v>56</v>
      </c>
      <c r="F1024" t="s">
        <v>17</v>
      </c>
      <c r="G1024" t="s">
        <v>45</v>
      </c>
      <c r="H1024">
        <v>17846</v>
      </c>
      <c r="I1024">
        <v>15196.15</v>
      </c>
      <c r="J1024">
        <v>15196.15</v>
      </c>
      <c r="K1024">
        <v>2649.85</v>
      </c>
      <c r="L1024">
        <v>2649.85</v>
      </c>
      <c r="M1024" t="s">
        <v>19</v>
      </c>
      <c r="N1024">
        <v>29</v>
      </c>
    </row>
    <row r="1025" spans="1:14" x14ac:dyDescent="0.35">
      <c r="A1025">
        <v>101024</v>
      </c>
      <c r="B1025">
        <v>27466</v>
      </c>
      <c r="C1025" t="s">
        <v>60</v>
      </c>
      <c r="D1025" t="s">
        <v>52</v>
      </c>
      <c r="E1025" t="s">
        <v>22</v>
      </c>
      <c r="F1025" t="s">
        <v>32</v>
      </c>
      <c r="G1025" t="s">
        <v>72</v>
      </c>
      <c r="H1025">
        <v>21738</v>
      </c>
      <c r="I1025">
        <v>20116.07</v>
      </c>
      <c r="J1025">
        <v>11965.58</v>
      </c>
      <c r="K1025">
        <v>1621.93</v>
      </c>
      <c r="L1025">
        <v>9772.42</v>
      </c>
      <c r="M1025" t="s">
        <v>39</v>
      </c>
      <c r="N1025">
        <v>106</v>
      </c>
    </row>
    <row r="1026" spans="1:14" x14ac:dyDescent="0.35">
      <c r="A1026">
        <v>101025</v>
      </c>
      <c r="B1026">
        <v>84585</v>
      </c>
      <c r="C1026" t="s">
        <v>218</v>
      </c>
      <c r="D1026" t="s">
        <v>21</v>
      </c>
      <c r="E1026" t="s">
        <v>26</v>
      </c>
      <c r="F1026" t="s">
        <v>17</v>
      </c>
      <c r="G1026" t="s">
        <v>28</v>
      </c>
      <c r="H1026">
        <v>14961</v>
      </c>
      <c r="I1026">
        <v>8814.1</v>
      </c>
      <c r="J1026">
        <v>8814.1</v>
      </c>
      <c r="K1026">
        <v>6146.9</v>
      </c>
      <c r="L1026">
        <v>6146.9</v>
      </c>
      <c r="M1026" t="s">
        <v>19</v>
      </c>
      <c r="N1026">
        <v>102</v>
      </c>
    </row>
    <row r="1027" spans="1:14" x14ac:dyDescent="0.35">
      <c r="A1027">
        <v>101026</v>
      </c>
      <c r="B1027">
        <v>15937</v>
      </c>
      <c r="C1027" t="s">
        <v>437</v>
      </c>
      <c r="D1027" t="s">
        <v>65</v>
      </c>
      <c r="E1027" t="s">
        <v>43</v>
      </c>
      <c r="F1027" t="s">
        <v>17</v>
      </c>
      <c r="G1027" t="s">
        <v>45</v>
      </c>
      <c r="H1027">
        <v>12491</v>
      </c>
      <c r="I1027">
        <v>8044.9</v>
      </c>
      <c r="J1027">
        <v>8044.9</v>
      </c>
      <c r="K1027">
        <v>4446.1000000000004</v>
      </c>
      <c r="L1027">
        <v>4446.1000000000004</v>
      </c>
      <c r="M1027" t="s">
        <v>19</v>
      </c>
      <c r="N1027">
        <v>175</v>
      </c>
    </row>
    <row r="1028" spans="1:14" x14ac:dyDescent="0.35">
      <c r="A1028">
        <v>101027</v>
      </c>
      <c r="B1028">
        <v>25511</v>
      </c>
      <c r="C1028" t="s">
        <v>545</v>
      </c>
      <c r="D1028" t="s">
        <v>65</v>
      </c>
      <c r="E1028" t="s">
        <v>56</v>
      </c>
      <c r="F1028" t="s">
        <v>54</v>
      </c>
      <c r="G1028" t="s">
        <v>38</v>
      </c>
      <c r="H1028">
        <v>14797</v>
      </c>
      <c r="I1028">
        <v>12734.79</v>
      </c>
      <c r="J1028">
        <v>12734.79</v>
      </c>
      <c r="K1028">
        <v>2062.21</v>
      </c>
      <c r="L1028">
        <v>2062.21</v>
      </c>
      <c r="M1028" t="s">
        <v>19</v>
      </c>
      <c r="N1028">
        <v>43</v>
      </c>
    </row>
    <row r="1029" spans="1:14" x14ac:dyDescent="0.35">
      <c r="A1029">
        <v>101028</v>
      </c>
      <c r="B1029">
        <v>79420</v>
      </c>
      <c r="C1029" t="s">
        <v>197</v>
      </c>
      <c r="D1029" t="s">
        <v>21</v>
      </c>
      <c r="E1029" t="s">
        <v>37</v>
      </c>
      <c r="F1029" t="s">
        <v>27</v>
      </c>
      <c r="G1029" t="s">
        <v>45</v>
      </c>
      <c r="H1029">
        <v>17265</v>
      </c>
      <c r="I1029">
        <v>9688.4599999999991</v>
      </c>
      <c r="J1029">
        <v>9688.4599999999991</v>
      </c>
      <c r="K1029">
        <v>7576.54</v>
      </c>
      <c r="L1029">
        <v>7576.54</v>
      </c>
      <c r="M1029" t="s">
        <v>19</v>
      </c>
      <c r="N1029">
        <v>65</v>
      </c>
    </row>
    <row r="1030" spans="1:14" x14ac:dyDescent="0.35">
      <c r="A1030">
        <v>101029</v>
      </c>
      <c r="B1030">
        <v>25458</v>
      </c>
      <c r="C1030" t="s">
        <v>228</v>
      </c>
      <c r="D1030" t="s">
        <v>21</v>
      </c>
      <c r="E1030" t="s">
        <v>41</v>
      </c>
      <c r="F1030" t="s">
        <v>27</v>
      </c>
      <c r="G1030" t="s">
        <v>28</v>
      </c>
      <c r="H1030">
        <v>12591</v>
      </c>
      <c r="I1030">
        <v>8735.64</v>
      </c>
      <c r="J1030">
        <v>8735.64</v>
      </c>
      <c r="K1030">
        <v>3855.36</v>
      </c>
      <c r="L1030">
        <v>3855.36</v>
      </c>
      <c r="M1030" t="s">
        <v>19</v>
      </c>
      <c r="N1030">
        <v>132</v>
      </c>
    </row>
    <row r="1031" spans="1:14" x14ac:dyDescent="0.35">
      <c r="A1031">
        <v>101030</v>
      </c>
      <c r="B1031">
        <v>75725</v>
      </c>
      <c r="C1031" t="s">
        <v>494</v>
      </c>
      <c r="D1031" t="s">
        <v>52</v>
      </c>
      <c r="E1031" t="s">
        <v>31</v>
      </c>
      <c r="F1031" t="s">
        <v>32</v>
      </c>
      <c r="G1031" t="s">
        <v>38</v>
      </c>
      <c r="H1031">
        <v>23600</v>
      </c>
      <c r="I1031">
        <v>14968.26</v>
      </c>
      <c r="J1031">
        <v>14968.26</v>
      </c>
      <c r="K1031">
        <v>8631.74</v>
      </c>
      <c r="L1031">
        <v>8631.74</v>
      </c>
      <c r="M1031" t="s">
        <v>19</v>
      </c>
      <c r="N1031">
        <v>77</v>
      </c>
    </row>
    <row r="1032" spans="1:14" x14ac:dyDescent="0.35">
      <c r="A1032">
        <v>101031</v>
      </c>
      <c r="B1032">
        <v>62988</v>
      </c>
      <c r="C1032" t="s">
        <v>108</v>
      </c>
      <c r="D1032" t="s">
        <v>34</v>
      </c>
      <c r="E1032" t="s">
        <v>22</v>
      </c>
      <c r="F1032" t="s">
        <v>32</v>
      </c>
      <c r="G1032" t="s">
        <v>28</v>
      </c>
      <c r="H1032">
        <v>23096</v>
      </c>
      <c r="I1032">
        <v>21324.9</v>
      </c>
      <c r="J1032">
        <v>21324.9</v>
      </c>
      <c r="K1032">
        <v>1771.1</v>
      </c>
      <c r="L1032">
        <v>1771.1</v>
      </c>
      <c r="M1032" t="s">
        <v>19</v>
      </c>
      <c r="N1032">
        <v>130</v>
      </c>
    </row>
    <row r="1033" spans="1:14" x14ac:dyDescent="0.35">
      <c r="A1033">
        <v>101032</v>
      </c>
      <c r="B1033">
        <v>72227</v>
      </c>
      <c r="C1033" t="s">
        <v>311</v>
      </c>
      <c r="D1033" t="s">
        <v>21</v>
      </c>
      <c r="E1033" t="s">
        <v>43</v>
      </c>
      <c r="F1033" t="s">
        <v>23</v>
      </c>
      <c r="G1033" t="s">
        <v>28</v>
      </c>
      <c r="H1033">
        <v>7488</v>
      </c>
      <c r="I1033">
        <v>6522.88</v>
      </c>
      <c r="J1033">
        <v>6522.88</v>
      </c>
      <c r="K1033">
        <v>965.12</v>
      </c>
      <c r="L1033">
        <v>965.12</v>
      </c>
      <c r="M1033" t="s">
        <v>19</v>
      </c>
      <c r="N1033">
        <v>54</v>
      </c>
    </row>
    <row r="1034" spans="1:14" x14ac:dyDescent="0.35">
      <c r="A1034">
        <v>101033</v>
      </c>
      <c r="B1034">
        <v>16533</v>
      </c>
      <c r="C1034" t="s">
        <v>591</v>
      </c>
      <c r="D1034" t="s">
        <v>34</v>
      </c>
      <c r="E1034" t="s">
        <v>43</v>
      </c>
      <c r="F1034" t="s">
        <v>32</v>
      </c>
      <c r="G1034" t="s">
        <v>28</v>
      </c>
      <c r="H1034">
        <v>20701</v>
      </c>
      <c r="I1034">
        <v>13866.9</v>
      </c>
      <c r="J1034">
        <v>0</v>
      </c>
      <c r="K1034">
        <v>6834.1</v>
      </c>
      <c r="L1034">
        <v>20701</v>
      </c>
      <c r="M1034" t="s">
        <v>62</v>
      </c>
      <c r="N1034">
        <v>37</v>
      </c>
    </row>
    <row r="1035" spans="1:14" x14ac:dyDescent="0.35">
      <c r="A1035">
        <v>101034</v>
      </c>
      <c r="B1035">
        <v>76086</v>
      </c>
      <c r="C1035" t="s">
        <v>475</v>
      </c>
      <c r="D1035" t="s">
        <v>21</v>
      </c>
      <c r="E1035" t="s">
        <v>43</v>
      </c>
      <c r="F1035" t="s">
        <v>54</v>
      </c>
      <c r="G1035" t="s">
        <v>47</v>
      </c>
      <c r="H1035">
        <v>21274</v>
      </c>
      <c r="I1035">
        <v>15009.57</v>
      </c>
      <c r="J1035">
        <v>15009.57</v>
      </c>
      <c r="K1035">
        <v>6264.43</v>
      </c>
      <c r="L1035">
        <v>6264.43</v>
      </c>
      <c r="M1035" t="s">
        <v>19</v>
      </c>
      <c r="N1035">
        <v>32</v>
      </c>
    </row>
    <row r="1036" spans="1:14" x14ac:dyDescent="0.35">
      <c r="A1036">
        <v>101035</v>
      </c>
      <c r="B1036">
        <v>44191</v>
      </c>
      <c r="C1036" t="s">
        <v>134</v>
      </c>
      <c r="D1036" t="s">
        <v>15</v>
      </c>
      <c r="E1036" t="s">
        <v>22</v>
      </c>
      <c r="F1036" t="s">
        <v>23</v>
      </c>
      <c r="G1036" t="s">
        <v>45</v>
      </c>
      <c r="H1036">
        <v>821</v>
      </c>
      <c r="I1036">
        <v>768.99</v>
      </c>
      <c r="J1036">
        <v>78.33</v>
      </c>
      <c r="K1036">
        <v>52.01</v>
      </c>
      <c r="L1036">
        <v>742.67</v>
      </c>
      <c r="M1036" t="s">
        <v>50</v>
      </c>
      <c r="N1036">
        <v>55</v>
      </c>
    </row>
    <row r="1037" spans="1:14" x14ac:dyDescent="0.35">
      <c r="A1037">
        <v>101036</v>
      </c>
      <c r="B1037">
        <v>79609</v>
      </c>
      <c r="C1037" t="s">
        <v>451</v>
      </c>
      <c r="D1037" t="s">
        <v>30</v>
      </c>
      <c r="E1037" t="s">
        <v>22</v>
      </c>
      <c r="F1037" t="s">
        <v>35</v>
      </c>
      <c r="G1037" t="s">
        <v>45</v>
      </c>
      <c r="H1037">
        <v>1397</v>
      </c>
      <c r="I1037">
        <v>798.61</v>
      </c>
      <c r="J1037">
        <v>798.61</v>
      </c>
      <c r="K1037">
        <v>598.39</v>
      </c>
      <c r="L1037">
        <v>598.39</v>
      </c>
      <c r="M1037" t="s">
        <v>19</v>
      </c>
      <c r="N1037">
        <v>163</v>
      </c>
    </row>
    <row r="1038" spans="1:14" x14ac:dyDescent="0.35">
      <c r="A1038">
        <v>101037</v>
      </c>
      <c r="B1038">
        <v>64538</v>
      </c>
      <c r="C1038" t="s">
        <v>545</v>
      </c>
      <c r="D1038" t="s">
        <v>21</v>
      </c>
      <c r="E1038" t="s">
        <v>41</v>
      </c>
      <c r="F1038" t="s">
        <v>17</v>
      </c>
      <c r="G1038" t="s">
        <v>47</v>
      </c>
      <c r="H1038">
        <v>3928</v>
      </c>
      <c r="I1038">
        <v>2982.92</v>
      </c>
      <c r="J1038">
        <v>2982.92</v>
      </c>
      <c r="K1038">
        <v>945.08</v>
      </c>
      <c r="L1038">
        <v>945.08</v>
      </c>
      <c r="M1038" t="s">
        <v>19</v>
      </c>
      <c r="N1038">
        <v>104</v>
      </c>
    </row>
    <row r="1039" spans="1:14" x14ac:dyDescent="0.35">
      <c r="A1039">
        <v>101038</v>
      </c>
      <c r="B1039">
        <v>41369</v>
      </c>
      <c r="C1039" t="s">
        <v>308</v>
      </c>
      <c r="D1039" t="s">
        <v>21</v>
      </c>
      <c r="E1039" t="s">
        <v>31</v>
      </c>
      <c r="F1039" t="s">
        <v>44</v>
      </c>
      <c r="G1039" t="s">
        <v>38</v>
      </c>
      <c r="H1039">
        <v>13854</v>
      </c>
      <c r="I1039">
        <v>9788.99</v>
      </c>
      <c r="J1039">
        <v>9788.99</v>
      </c>
      <c r="K1039">
        <v>4065.01</v>
      </c>
      <c r="L1039">
        <v>4065.01</v>
      </c>
      <c r="M1039" t="s">
        <v>19</v>
      </c>
      <c r="N1039">
        <v>14</v>
      </c>
    </row>
    <row r="1040" spans="1:14" x14ac:dyDescent="0.35">
      <c r="A1040">
        <v>101039</v>
      </c>
      <c r="B1040">
        <v>35190</v>
      </c>
      <c r="C1040" t="s">
        <v>197</v>
      </c>
      <c r="D1040" t="s">
        <v>49</v>
      </c>
      <c r="E1040" t="s">
        <v>16</v>
      </c>
      <c r="F1040" t="s">
        <v>54</v>
      </c>
      <c r="G1040" t="s">
        <v>47</v>
      </c>
      <c r="H1040">
        <v>22085</v>
      </c>
      <c r="I1040">
        <v>12243.46</v>
      </c>
      <c r="J1040">
        <v>0</v>
      </c>
      <c r="K1040">
        <v>9841.5400000000009</v>
      </c>
      <c r="L1040">
        <v>22085</v>
      </c>
      <c r="M1040" t="s">
        <v>62</v>
      </c>
      <c r="N1040">
        <v>123</v>
      </c>
    </row>
    <row r="1041" spans="1:14" x14ac:dyDescent="0.35">
      <c r="A1041">
        <v>101040</v>
      </c>
      <c r="B1041">
        <v>16938</v>
      </c>
      <c r="C1041" t="s">
        <v>264</v>
      </c>
      <c r="D1041" t="s">
        <v>34</v>
      </c>
      <c r="E1041" t="s">
        <v>56</v>
      </c>
      <c r="F1041" t="s">
        <v>61</v>
      </c>
      <c r="G1041" t="s">
        <v>72</v>
      </c>
      <c r="H1041">
        <v>2596</v>
      </c>
      <c r="I1041">
        <v>1576.14</v>
      </c>
      <c r="J1041">
        <v>1576.14</v>
      </c>
      <c r="K1041">
        <v>1019.86</v>
      </c>
      <c r="L1041">
        <v>1019.86</v>
      </c>
      <c r="M1041" t="s">
        <v>19</v>
      </c>
      <c r="N1041">
        <v>122</v>
      </c>
    </row>
    <row r="1042" spans="1:14" x14ac:dyDescent="0.35">
      <c r="A1042">
        <v>101041</v>
      </c>
      <c r="B1042">
        <v>53358</v>
      </c>
      <c r="C1042" t="s">
        <v>405</v>
      </c>
      <c r="D1042" t="s">
        <v>65</v>
      </c>
      <c r="E1042" t="s">
        <v>22</v>
      </c>
      <c r="F1042" t="s">
        <v>54</v>
      </c>
      <c r="G1042" t="s">
        <v>45</v>
      </c>
      <c r="H1042">
        <v>7840</v>
      </c>
      <c r="I1042">
        <v>5076.57</v>
      </c>
      <c r="J1042">
        <v>0</v>
      </c>
      <c r="K1042">
        <v>2763.43</v>
      </c>
      <c r="L1042">
        <v>7840</v>
      </c>
      <c r="M1042" t="s">
        <v>62</v>
      </c>
      <c r="N1042">
        <v>55</v>
      </c>
    </row>
    <row r="1043" spans="1:14" x14ac:dyDescent="0.35">
      <c r="A1043">
        <v>101042</v>
      </c>
      <c r="B1043">
        <v>33838</v>
      </c>
      <c r="C1043" t="s">
        <v>537</v>
      </c>
      <c r="D1043" t="s">
        <v>21</v>
      </c>
      <c r="E1043" t="s">
        <v>43</v>
      </c>
      <c r="F1043" t="s">
        <v>27</v>
      </c>
      <c r="G1043" t="s">
        <v>24</v>
      </c>
      <c r="H1043">
        <v>24848</v>
      </c>
      <c r="I1043">
        <v>22641.68</v>
      </c>
      <c r="J1043">
        <v>5297.88</v>
      </c>
      <c r="K1043">
        <v>2206.3200000000002</v>
      </c>
      <c r="L1043">
        <v>19550.12</v>
      </c>
      <c r="M1043" t="s">
        <v>50</v>
      </c>
      <c r="N1043">
        <v>146</v>
      </c>
    </row>
    <row r="1044" spans="1:14" x14ac:dyDescent="0.35">
      <c r="A1044">
        <v>101043</v>
      </c>
      <c r="B1044">
        <v>71586</v>
      </c>
      <c r="C1044" t="s">
        <v>71</v>
      </c>
      <c r="D1044" t="s">
        <v>49</v>
      </c>
      <c r="E1044" t="s">
        <v>16</v>
      </c>
      <c r="F1044" t="s">
        <v>27</v>
      </c>
      <c r="G1044" t="s">
        <v>28</v>
      </c>
      <c r="H1044">
        <v>709</v>
      </c>
      <c r="I1044">
        <v>449.91</v>
      </c>
      <c r="J1044">
        <v>0</v>
      </c>
      <c r="K1044">
        <v>259.08999999999997</v>
      </c>
      <c r="L1044">
        <v>709</v>
      </c>
      <c r="M1044" t="s">
        <v>62</v>
      </c>
      <c r="N1044">
        <v>7</v>
      </c>
    </row>
    <row r="1045" spans="1:14" x14ac:dyDescent="0.35">
      <c r="A1045">
        <v>101044</v>
      </c>
      <c r="B1045">
        <v>98766</v>
      </c>
      <c r="C1045" t="s">
        <v>483</v>
      </c>
      <c r="D1045" t="s">
        <v>49</v>
      </c>
      <c r="E1045" t="s">
        <v>43</v>
      </c>
      <c r="F1045" t="s">
        <v>54</v>
      </c>
      <c r="G1045" t="s">
        <v>72</v>
      </c>
      <c r="H1045">
        <v>12198</v>
      </c>
      <c r="I1045">
        <v>7959.39</v>
      </c>
      <c r="J1045">
        <v>7959.39</v>
      </c>
      <c r="K1045">
        <v>4238.6099999999997</v>
      </c>
      <c r="L1045">
        <v>4238.6099999999997</v>
      </c>
      <c r="M1045" t="s">
        <v>19</v>
      </c>
      <c r="N1045">
        <v>163</v>
      </c>
    </row>
    <row r="1046" spans="1:14" x14ac:dyDescent="0.35">
      <c r="A1046">
        <v>101045</v>
      </c>
      <c r="B1046">
        <v>30658</v>
      </c>
      <c r="C1046" t="s">
        <v>84</v>
      </c>
      <c r="D1046" t="s">
        <v>15</v>
      </c>
      <c r="E1046" t="s">
        <v>43</v>
      </c>
      <c r="F1046" t="s">
        <v>44</v>
      </c>
      <c r="G1046" t="s">
        <v>24</v>
      </c>
      <c r="H1046">
        <v>12912</v>
      </c>
      <c r="I1046">
        <v>11275.81</v>
      </c>
      <c r="J1046">
        <v>11275.81</v>
      </c>
      <c r="K1046">
        <v>1636.19</v>
      </c>
      <c r="L1046">
        <v>1636.19</v>
      </c>
      <c r="M1046" t="s">
        <v>19</v>
      </c>
      <c r="N1046">
        <v>128</v>
      </c>
    </row>
    <row r="1047" spans="1:14" x14ac:dyDescent="0.35">
      <c r="A1047">
        <v>101046</v>
      </c>
      <c r="B1047">
        <v>10377</v>
      </c>
      <c r="C1047" t="s">
        <v>436</v>
      </c>
      <c r="D1047" t="s">
        <v>52</v>
      </c>
      <c r="E1047" t="s">
        <v>31</v>
      </c>
      <c r="F1047" t="s">
        <v>35</v>
      </c>
      <c r="G1047" t="s">
        <v>47</v>
      </c>
      <c r="H1047">
        <v>21973</v>
      </c>
      <c r="I1047">
        <v>16914.47</v>
      </c>
      <c r="J1047">
        <v>8816.4</v>
      </c>
      <c r="K1047">
        <v>5058.53</v>
      </c>
      <c r="L1047">
        <v>13156.6</v>
      </c>
      <c r="M1047" t="s">
        <v>39</v>
      </c>
      <c r="N1047">
        <v>149</v>
      </c>
    </row>
    <row r="1048" spans="1:14" x14ac:dyDescent="0.35">
      <c r="A1048">
        <v>101047</v>
      </c>
      <c r="B1048">
        <v>92767</v>
      </c>
      <c r="C1048" t="s">
        <v>473</v>
      </c>
      <c r="D1048" t="s">
        <v>34</v>
      </c>
      <c r="E1048" t="s">
        <v>31</v>
      </c>
      <c r="F1048" t="s">
        <v>44</v>
      </c>
      <c r="G1048" t="s">
        <v>38</v>
      </c>
      <c r="H1048">
        <v>23354</v>
      </c>
      <c r="I1048">
        <v>19763.009999999998</v>
      </c>
      <c r="J1048">
        <v>12937.76</v>
      </c>
      <c r="K1048">
        <v>3590.99</v>
      </c>
      <c r="L1048">
        <v>10416.24</v>
      </c>
      <c r="M1048" t="s">
        <v>39</v>
      </c>
      <c r="N1048">
        <v>119</v>
      </c>
    </row>
    <row r="1049" spans="1:14" x14ac:dyDescent="0.35">
      <c r="A1049">
        <v>101048</v>
      </c>
      <c r="B1049">
        <v>28986</v>
      </c>
      <c r="C1049" t="s">
        <v>94</v>
      </c>
      <c r="D1049" t="s">
        <v>34</v>
      </c>
      <c r="E1049" t="s">
        <v>26</v>
      </c>
      <c r="F1049" t="s">
        <v>44</v>
      </c>
      <c r="G1049" t="s">
        <v>72</v>
      </c>
      <c r="H1049">
        <v>6709</v>
      </c>
      <c r="I1049">
        <v>5491.38</v>
      </c>
      <c r="J1049">
        <v>5491.38</v>
      </c>
      <c r="K1049">
        <v>1217.6199999999999</v>
      </c>
      <c r="L1049">
        <v>1217.6199999999999</v>
      </c>
      <c r="M1049" t="s">
        <v>19</v>
      </c>
      <c r="N1049">
        <v>122</v>
      </c>
    </row>
    <row r="1050" spans="1:14" x14ac:dyDescent="0.35">
      <c r="A1050">
        <v>101049</v>
      </c>
      <c r="B1050">
        <v>66575</v>
      </c>
      <c r="C1050" t="s">
        <v>301</v>
      </c>
      <c r="D1050" t="s">
        <v>15</v>
      </c>
      <c r="E1050" t="s">
        <v>26</v>
      </c>
      <c r="F1050" t="s">
        <v>17</v>
      </c>
      <c r="G1050" t="s">
        <v>47</v>
      </c>
      <c r="H1050">
        <v>10546</v>
      </c>
      <c r="I1050">
        <v>6340.33</v>
      </c>
      <c r="J1050">
        <v>1759.86</v>
      </c>
      <c r="K1050">
        <v>4205.67</v>
      </c>
      <c r="L1050">
        <v>8786.14</v>
      </c>
      <c r="M1050" t="s">
        <v>50</v>
      </c>
      <c r="N1050">
        <v>27</v>
      </c>
    </row>
    <row r="1051" spans="1:14" x14ac:dyDescent="0.35">
      <c r="A1051">
        <v>101050</v>
      </c>
      <c r="B1051">
        <v>70889</v>
      </c>
      <c r="C1051" t="s">
        <v>592</v>
      </c>
      <c r="D1051" t="s">
        <v>34</v>
      </c>
      <c r="E1051" t="s">
        <v>31</v>
      </c>
      <c r="F1051" t="s">
        <v>17</v>
      </c>
      <c r="G1051" t="s">
        <v>38</v>
      </c>
      <c r="H1051">
        <v>22081</v>
      </c>
      <c r="I1051">
        <v>16296.62</v>
      </c>
      <c r="J1051">
        <v>8738.31</v>
      </c>
      <c r="K1051">
        <v>5784.38</v>
      </c>
      <c r="L1051">
        <v>13342.69</v>
      </c>
      <c r="M1051" t="s">
        <v>39</v>
      </c>
      <c r="N1051">
        <v>40</v>
      </c>
    </row>
    <row r="1052" spans="1:14" x14ac:dyDescent="0.35">
      <c r="A1052">
        <v>101051</v>
      </c>
      <c r="B1052">
        <v>61811</v>
      </c>
      <c r="C1052" t="s">
        <v>104</v>
      </c>
      <c r="D1052" t="s">
        <v>65</v>
      </c>
      <c r="E1052" t="s">
        <v>41</v>
      </c>
      <c r="F1052" t="s">
        <v>54</v>
      </c>
      <c r="G1052" t="s">
        <v>24</v>
      </c>
      <c r="H1052">
        <v>24799</v>
      </c>
      <c r="I1052">
        <v>20488.18</v>
      </c>
      <c r="J1052">
        <v>20488.18</v>
      </c>
      <c r="K1052">
        <v>4310.82</v>
      </c>
      <c r="L1052">
        <v>4310.82</v>
      </c>
      <c r="M1052" t="s">
        <v>19</v>
      </c>
      <c r="N1052">
        <v>13</v>
      </c>
    </row>
    <row r="1053" spans="1:14" x14ac:dyDescent="0.35">
      <c r="A1053">
        <v>101052</v>
      </c>
      <c r="B1053">
        <v>42567</v>
      </c>
      <c r="C1053" t="s">
        <v>483</v>
      </c>
      <c r="D1053" t="s">
        <v>30</v>
      </c>
      <c r="E1053" t="s">
        <v>16</v>
      </c>
      <c r="F1053" t="s">
        <v>35</v>
      </c>
      <c r="G1053" t="s">
        <v>38</v>
      </c>
      <c r="H1053">
        <v>12254</v>
      </c>
      <c r="I1053">
        <v>11198.02</v>
      </c>
      <c r="J1053">
        <v>11198.02</v>
      </c>
      <c r="K1053">
        <v>1055.98</v>
      </c>
      <c r="L1053">
        <v>1055.98</v>
      </c>
      <c r="M1053" t="s">
        <v>19</v>
      </c>
      <c r="N1053">
        <v>8</v>
      </c>
    </row>
    <row r="1054" spans="1:14" x14ac:dyDescent="0.35">
      <c r="A1054">
        <v>101053</v>
      </c>
      <c r="B1054">
        <v>63191</v>
      </c>
      <c r="C1054" t="s">
        <v>473</v>
      </c>
      <c r="D1054" t="s">
        <v>30</v>
      </c>
      <c r="E1054" t="s">
        <v>26</v>
      </c>
      <c r="F1054" t="s">
        <v>17</v>
      </c>
      <c r="G1054" t="s">
        <v>18</v>
      </c>
      <c r="H1054">
        <v>13590</v>
      </c>
      <c r="I1054">
        <v>7523.27</v>
      </c>
      <c r="J1054">
        <v>1889.8</v>
      </c>
      <c r="K1054">
        <v>6066.73</v>
      </c>
      <c r="L1054">
        <v>11700.2</v>
      </c>
      <c r="M1054" t="s">
        <v>50</v>
      </c>
      <c r="N1054">
        <v>13</v>
      </c>
    </row>
    <row r="1055" spans="1:14" x14ac:dyDescent="0.35">
      <c r="A1055">
        <v>101054</v>
      </c>
      <c r="B1055">
        <v>19182</v>
      </c>
      <c r="C1055" t="s">
        <v>593</v>
      </c>
      <c r="D1055" t="s">
        <v>52</v>
      </c>
      <c r="E1055" t="s">
        <v>26</v>
      </c>
      <c r="F1055" t="s">
        <v>54</v>
      </c>
      <c r="G1055" t="s">
        <v>72</v>
      </c>
      <c r="H1055">
        <v>16121</v>
      </c>
      <c r="I1055">
        <v>13309.35</v>
      </c>
      <c r="J1055">
        <v>13309.35</v>
      </c>
      <c r="K1055">
        <v>2811.65</v>
      </c>
      <c r="L1055">
        <v>2811.65</v>
      </c>
      <c r="M1055" t="s">
        <v>19</v>
      </c>
      <c r="N1055">
        <v>174</v>
      </c>
    </row>
    <row r="1056" spans="1:14" x14ac:dyDescent="0.35">
      <c r="A1056">
        <v>101055</v>
      </c>
      <c r="B1056">
        <v>64926</v>
      </c>
      <c r="C1056" t="s">
        <v>594</v>
      </c>
      <c r="D1056" t="s">
        <v>49</v>
      </c>
      <c r="E1056" t="s">
        <v>37</v>
      </c>
      <c r="F1056" t="s">
        <v>17</v>
      </c>
      <c r="G1056" t="s">
        <v>38</v>
      </c>
      <c r="H1056">
        <v>7868</v>
      </c>
      <c r="I1056">
        <v>6634.94</v>
      </c>
      <c r="J1056">
        <v>840.75</v>
      </c>
      <c r="K1056">
        <v>1233.06</v>
      </c>
      <c r="L1056">
        <v>7027.25</v>
      </c>
      <c r="M1056" t="s">
        <v>50</v>
      </c>
      <c r="N1056">
        <v>161</v>
      </c>
    </row>
    <row r="1057" spans="1:14" x14ac:dyDescent="0.35">
      <c r="A1057">
        <v>101056</v>
      </c>
      <c r="B1057">
        <v>83054</v>
      </c>
      <c r="C1057" t="s">
        <v>14</v>
      </c>
      <c r="D1057" t="s">
        <v>52</v>
      </c>
      <c r="E1057" t="s">
        <v>26</v>
      </c>
      <c r="F1057" t="s">
        <v>32</v>
      </c>
      <c r="G1057" t="s">
        <v>24</v>
      </c>
      <c r="H1057">
        <v>10963</v>
      </c>
      <c r="I1057">
        <v>6456.99</v>
      </c>
      <c r="J1057">
        <v>6456.99</v>
      </c>
      <c r="K1057">
        <v>4506.01</v>
      </c>
      <c r="L1057">
        <v>4506.01</v>
      </c>
      <c r="M1057" t="s">
        <v>19</v>
      </c>
      <c r="N1057">
        <v>80</v>
      </c>
    </row>
    <row r="1058" spans="1:14" x14ac:dyDescent="0.35">
      <c r="A1058">
        <v>101057</v>
      </c>
      <c r="B1058">
        <v>14656</v>
      </c>
      <c r="C1058" t="s">
        <v>595</v>
      </c>
      <c r="D1058" t="s">
        <v>34</v>
      </c>
      <c r="E1058" t="s">
        <v>31</v>
      </c>
      <c r="F1058" t="s">
        <v>27</v>
      </c>
      <c r="G1058" t="s">
        <v>47</v>
      </c>
      <c r="H1058">
        <v>18658</v>
      </c>
      <c r="I1058">
        <v>17116.43</v>
      </c>
      <c r="J1058">
        <v>15090.95</v>
      </c>
      <c r="K1058">
        <v>1541.57</v>
      </c>
      <c r="L1058">
        <v>3567.05</v>
      </c>
      <c r="M1058" t="s">
        <v>39</v>
      </c>
      <c r="N1058">
        <v>96</v>
      </c>
    </row>
    <row r="1059" spans="1:14" x14ac:dyDescent="0.35">
      <c r="A1059">
        <v>101058</v>
      </c>
      <c r="B1059">
        <v>69349</v>
      </c>
      <c r="C1059" t="s">
        <v>82</v>
      </c>
      <c r="D1059" t="s">
        <v>52</v>
      </c>
      <c r="E1059" t="s">
        <v>31</v>
      </c>
      <c r="F1059" t="s">
        <v>35</v>
      </c>
      <c r="G1059" t="s">
        <v>28</v>
      </c>
      <c r="H1059">
        <v>12034</v>
      </c>
      <c r="I1059">
        <v>6982.12</v>
      </c>
      <c r="J1059">
        <v>6982.12</v>
      </c>
      <c r="K1059">
        <v>5051.88</v>
      </c>
      <c r="L1059">
        <v>5051.88</v>
      </c>
      <c r="M1059" t="s">
        <v>19</v>
      </c>
      <c r="N1059">
        <v>122</v>
      </c>
    </row>
    <row r="1060" spans="1:14" x14ac:dyDescent="0.35">
      <c r="A1060">
        <v>101059</v>
      </c>
      <c r="B1060">
        <v>58585</v>
      </c>
      <c r="C1060" t="s">
        <v>263</v>
      </c>
      <c r="D1060" t="s">
        <v>49</v>
      </c>
      <c r="E1060" t="s">
        <v>22</v>
      </c>
      <c r="F1060" t="s">
        <v>17</v>
      </c>
      <c r="G1060" t="s">
        <v>24</v>
      </c>
      <c r="H1060">
        <v>17145</v>
      </c>
      <c r="I1060">
        <v>13354.9</v>
      </c>
      <c r="J1060">
        <v>986.65</v>
      </c>
      <c r="K1060">
        <v>3790.1</v>
      </c>
      <c r="L1060">
        <v>16158.35</v>
      </c>
      <c r="M1060" t="s">
        <v>50</v>
      </c>
      <c r="N1060">
        <v>147</v>
      </c>
    </row>
    <row r="1061" spans="1:14" x14ac:dyDescent="0.35">
      <c r="A1061">
        <v>101060</v>
      </c>
      <c r="B1061">
        <v>24761</v>
      </c>
      <c r="C1061" t="s">
        <v>153</v>
      </c>
      <c r="D1061" t="s">
        <v>34</v>
      </c>
      <c r="E1061" t="s">
        <v>16</v>
      </c>
      <c r="F1061" t="s">
        <v>61</v>
      </c>
      <c r="G1061" t="s">
        <v>28</v>
      </c>
      <c r="H1061">
        <v>9149</v>
      </c>
      <c r="I1061">
        <v>5304.86</v>
      </c>
      <c r="J1061">
        <v>5304.86</v>
      </c>
      <c r="K1061">
        <v>3844.14</v>
      </c>
      <c r="L1061">
        <v>3844.14</v>
      </c>
      <c r="M1061" t="s">
        <v>19</v>
      </c>
      <c r="N1061">
        <v>57</v>
      </c>
    </row>
    <row r="1062" spans="1:14" x14ac:dyDescent="0.35">
      <c r="A1062">
        <v>101061</v>
      </c>
      <c r="B1062">
        <v>43007</v>
      </c>
      <c r="C1062" t="s">
        <v>596</v>
      </c>
      <c r="D1062" t="s">
        <v>15</v>
      </c>
      <c r="E1062" t="s">
        <v>26</v>
      </c>
      <c r="F1062" t="s">
        <v>17</v>
      </c>
      <c r="G1062" t="s">
        <v>38</v>
      </c>
      <c r="H1062">
        <v>11214</v>
      </c>
      <c r="I1062">
        <v>8416.0499999999993</v>
      </c>
      <c r="J1062">
        <v>8416.0499999999993</v>
      </c>
      <c r="K1062">
        <v>2797.95</v>
      </c>
      <c r="L1062">
        <v>2797.95</v>
      </c>
      <c r="M1062" t="s">
        <v>19</v>
      </c>
      <c r="N1062">
        <v>32</v>
      </c>
    </row>
    <row r="1063" spans="1:14" x14ac:dyDescent="0.35">
      <c r="A1063">
        <v>101062</v>
      </c>
      <c r="B1063">
        <v>64869</v>
      </c>
      <c r="C1063" t="s">
        <v>597</v>
      </c>
      <c r="D1063" t="s">
        <v>21</v>
      </c>
      <c r="E1063" t="s">
        <v>37</v>
      </c>
      <c r="F1063" t="s">
        <v>17</v>
      </c>
      <c r="G1063" t="s">
        <v>24</v>
      </c>
      <c r="H1063">
        <v>1652</v>
      </c>
      <c r="I1063">
        <v>1436.23</v>
      </c>
      <c r="J1063">
        <v>0</v>
      </c>
      <c r="K1063">
        <v>215.77</v>
      </c>
      <c r="L1063">
        <v>1652</v>
      </c>
      <c r="M1063" t="s">
        <v>62</v>
      </c>
      <c r="N1063">
        <v>81</v>
      </c>
    </row>
    <row r="1064" spans="1:14" x14ac:dyDescent="0.35">
      <c r="A1064">
        <v>101063</v>
      </c>
      <c r="B1064">
        <v>25945</v>
      </c>
      <c r="C1064" t="s">
        <v>468</v>
      </c>
      <c r="D1064" t="s">
        <v>30</v>
      </c>
      <c r="E1064" t="s">
        <v>22</v>
      </c>
      <c r="F1064" t="s">
        <v>17</v>
      </c>
      <c r="G1064" t="s">
        <v>45</v>
      </c>
      <c r="H1064">
        <v>5074</v>
      </c>
      <c r="I1064">
        <v>3757.93</v>
      </c>
      <c r="J1064">
        <v>0</v>
      </c>
      <c r="K1064">
        <v>1316.07</v>
      </c>
      <c r="L1064">
        <v>5074</v>
      </c>
      <c r="M1064" t="s">
        <v>62</v>
      </c>
      <c r="N1064">
        <v>128</v>
      </c>
    </row>
    <row r="1065" spans="1:14" x14ac:dyDescent="0.35">
      <c r="A1065">
        <v>101064</v>
      </c>
      <c r="B1065">
        <v>91641</v>
      </c>
      <c r="C1065" t="s">
        <v>284</v>
      </c>
      <c r="D1065" t="s">
        <v>15</v>
      </c>
      <c r="E1065" t="s">
        <v>56</v>
      </c>
      <c r="F1065" t="s">
        <v>23</v>
      </c>
      <c r="G1065" t="s">
        <v>45</v>
      </c>
      <c r="H1065">
        <v>5347</v>
      </c>
      <c r="I1065">
        <v>4839.1099999999997</v>
      </c>
      <c r="J1065">
        <v>2997.99</v>
      </c>
      <c r="K1065">
        <v>507.89</v>
      </c>
      <c r="L1065">
        <v>2349.0100000000002</v>
      </c>
      <c r="M1065" t="s">
        <v>39</v>
      </c>
      <c r="N1065">
        <v>146</v>
      </c>
    </row>
    <row r="1066" spans="1:14" x14ac:dyDescent="0.35">
      <c r="A1066">
        <v>101065</v>
      </c>
      <c r="B1066">
        <v>89830</v>
      </c>
      <c r="C1066" t="s">
        <v>167</v>
      </c>
      <c r="D1066" t="s">
        <v>49</v>
      </c>
      <c r="E1066" t="s">
        <v>41</v>
      </c>
      <c r="F1066" t="s">
        <v>54</v>
      </c>
      <c r="G1066" t="s">
        <v>72</v>
      </c>
      <c r="H1066">
        <v>22634</v>
      </c>
      <c r="I1066">
        <v>14069.32</v>
      </c>
      <c r="J1066">
        <v>4138.87</v>
      </c>
      <c r="K1066">
        <v>8564.68</v>
      </c>
      <c r="L1066">
        <v>18495.13</v>
      </c>
      <c r="M1066" t="s">
        <v>50</v>
      </c>
      <c r="N1066">
        <v>65</v>
      </c>
    </row>
    <row r="1067" spans="1:14" x14ac:dyDescent="0.35">
      <c r="A1067">
        <v>101066</v>
      </c>
      <c r="B1067">
        <v>81639</v>
      </c>
      <c r="C1067" t="s">
        <v>237</v>
      </c>
      <c r="D1067" t="s">
        <v>52</v>
      </c>
      <c r="E1067" t="s">
        <v>26</v>
      </c>
      <c r="F1067" t="s">
        <v>32</v>
      </c>
      <c r="G1067" t="s">
        <v>18</v>
      </c>
      <c r="H1067">
        <v>746</v>
      </c>
      <c r="I1067">
        <v>427.56</v>
      </c>
      <c r="J1067">
        <v>294.97000000000003</v>
      </c>
      <c r="K1067">
        <v>318.44</v>
      </c>
      <c r="L1067">
        <v>451.03</v>
      </c>
      <c r="M1067" t="s">
        <v>39</v>
      </c>
      <c r="N1067">
        <v>152</v>
      </c>
    </row>
    <row r="1068" spans="1:14" x14ac:dyDescent="0.35">
      <c r="A1068">
        <v>101067</v>
      </c>
      <c r="B1068">
        <v>74604</v>
      </c>
      <c r="C1068" t="s">
        <v>590</v>
      </c>
      <c r="D1068" t="s">
        <v>15</v>
      </c>
      <c r="E1068" t="s">
        <v>37</v>
      </c>
      <c r="F1068" t="s">
        <v>44</v>
      </c>
      <c r="G1068" t="s">
        <v>72</v>
      </c>
      <c r="H1068">
        <v>4816</v>
      </c>
      <c r="I1068">
        <v>4441.6899999999996</v>
      </c>
      <c r="J1068">
        <v>4441.6899999999996</v>
      </c>
      <c r="K1068">
        <v>374.31</v>
      </c>
      <c r="L1068">
        <v>374.31</v>
      </c>
      <c r="M1068" t="s">
        <v>19</v>
      </c>
      <c r="N1068">
        <v>18</v>
      </c>
    </row>
    <row r="1069" spans="1:14" x14ac:dyDescent="0.35">
      <c r="A1069">
        <v>101068</v>
      </c>
      <c r="B1069">
        <v>16979</v>
      </c>
      <c r="C1069" t="s">
        <v>345</v>
      </c>
      <c r="D1069" t="s">
        <v>49</v>
      </c>
      <c r="E1069" t="s">
        <v>16</v>
      </c>
      <c r="F1069" t="s">
        <v>23</v>
      </c>
      <c r="G1069" t="s">
        <v>24</v>
      </c>
      <c r="H1069">
        <v>21365</v>
      </c>
      <c r="I1069">
        <v>12704.5</v>
      </c>
      <c r="J1069">
        <v>12704.5</v>
      </c>
      <c r="K1069">
        <v>8660.5</v>
      </c>
      <c r="L1069">
        <v>8660.5</v>
      </c>
      <c r="M1069" t="s">
        <v>19</v>
      </c>
      <c r="N1069">
        <v>121</v>
      </c>
    </row>
    <row r="1070" spans="1:14" x14ac:dyDescent="0.35">
      <c r="A1070">
        <v>101069</v>
      </c>
      <c r="B1070">
        <v>84362</v>
      </c>
      <c r="C1070" t="s">
        <v>598</v>
      </c>
      <c r="D1070" t="s">
        <v>30</v>
      </c>
      <c r="E1070" t="s">
        <v>31</v>
      </c>
      <c r="F1070" t="s">
        <v>54</v>
      </c>
      <c r="G1070" t="s">
        <v>38</v>
      </c>
      <c r="H1070">
        <v>12132</v>
      </c>
      <c r="I1070">
        <v>7189.41</v>
      </c>
      <c r="J1070">
        <v>7189.41</v>
      </c>
      <c r="K1070">
        <v>4942.59</v>
      </c>
      <c r="L1070">
        <v>4942.59</v>
      </c>
      <c r="M1070" t="s">
        <v>19</v>
      </c>
      <c r="N1070">
        <v>121</v>
      </c>
    </row>
    <row r="1071" spans="1:14" x14ac:dyDescent="0.35">
      <c r="A1071">
        <v>101070</v>
      </c>
      <c r="B1071">
        <v>22033</v>
      </c>
      <c r="C1071" t="s">
        <v>346</v>
      </c>
      <c r="D1071" t="s">
        <v>30</v>
      </c>
      <c r="E1071" t="s">
        <v>37</v>
      </c>
      <c r="F1071" t="s">
        <v>35</v>
      </c>
      <c r="G1071" t="s">
        <v>38</v>
      </c>
      <c r="H1071">
        <v>1662</v>
      </c>
      <c r="I1071">
        <v>954.82</v>
      </c>
      <c r="J1071">
        <v>954.82</v>
      </c>
      <c r="K1071">
        <v>707.18</v>
      </c>
      <c r="L1071">
        <v>707.18</v>
      </c>
      <c r="M1071" t="s">
        <v>19</v>
      </c>
      <c r="N1071">
        <v>0</v>
      </c>
    </row>
    <row r="1072" spans="1:14" x14ac:dyDescent="0.35">
      <c r="A1072">
        <v>101071</v>
      </c>
      <c r="B1072">
        <v>52950</v>
      </c>
      <c r="C1072" t="s">
        <v>599</v>
      </c>
      <c r="D1072" t="s">
        <v>34</v>
      </c>
      <c r="E1072" t="s">
        <v>16</v>
      </c>
      <c r="F1072" t="s">
        <v>17</v>
      </c>
      <c r="G1072" t="s">
        <v>38</v>
      </c>
      <c r="H1072">
        <v>24912</v>
      </c>
      <c r="I1072">
        <v>16188.49</v>
      </c>
      <c r="J1072">
        <v>16188.49</v>
      </c>
      <c r="K1072">
        <v>8723.51</v>
      </c>
      <c r="L1072">
        <v>8723.51</v>
      </c>
      <c r="M1072" t="s">
        <v>19</v>
      </c>
      <c r="N1072">
        <v>75</v>
      </c>
    </row>
    <row r="1073" spans="1:14" x14ac:dyDescent="0.35">
      <c r="A1073">
        <v>101072</v>
      </c>
      <c r="B1073">
        <v>64038</v>
      </c>
      <c r="C1073" t="s">
        <v>36</v>
      </c>
      <c r="D1073" t="s">
        <v>52</v>
      </c>
      <c r="E1073" t="s">
        <v>56</v>
      </c>
      <c r="F1073" t="s">
        <v>17</v>
      </c>
      <c r="G1073" t="s">
        <v>18</v>
      </c>
      <c r="H1073">
        <v>21157</v>
      </c>
      <c r="I1073">
        <v>14782.88</v>
      </c>
      <c r="J1073">
        <v>0</v>
      </c>
      <c r="K1073">
        <v>6374.12</v>
      </c>
      <c r="L1073">
        <v>21157</v>
      </c>
      <c r="M1073" t="s">
        <v>62</v>
      </c>
      <c r="N1073">
        <v>72</v>
      </c>
    </row>
    <row r="1074" spans="1:14" x14ac:dyDescent="0.35">
      <c r="A1074">
        <v>101073</v>
      </c>
      <c r="B1074">
        <v>42244</v>
      </c>
      <c r="C1074" t="s">
        <v>36</v>
      </c>
      <c r="D1074" t="s">
        <v>15</v>
      </c>
      <c r="E1074" t="s">
        <v>43</v>
      </c>
      <c r="F1074" t="s">
        <v>44</v>
      </c>
      <c r="G1074" t="s">
        <v>28</v>
      </c>
      <c r="H1074">
        <v>24547</v>
      </c>
      <c r="I1074">
        <v>17601.68</v>
      </c>
      <c r="J1074">
        <v>17601.68</v>
      </c>
      <c r="K1074">
        <v>6945.32</v>
      </c>
      <c r="L1074">
        <v>6945.32</v>
      </c>
      <c r="M1074" t="s">
        <v>19</v>
      </c>
      <c r="N1074">
        <v>4</v>
      </c>
    </row>
    <row r="1075" spans="1:14" x14ac:dyDescent="0.35">
      <c r="A1075">
        <v>101074</v>
      </c>
      <c r="B1075">
        <v>84738</v>
      </c>
      <c r="C1075" t="s">
        <v>359</v>
      </c>
      <c r="D1075" t="s">
        <v>30</v>
      </c>
      <c r="E1075" t="s">
        <v>37</v>
      </c>
      <c r="F1075" t="s">
        <v>32</v>
      </c>
      <c r="G1075" t="s">
        <v>47</v>
      </c>
      <c r="H1075">
        <v>11956</v>
      </c>
      <c r="I1075">
        <v>8061.01</v>
      </c>
      <c r="J1075">
        <v>0</v>
      </c>
      <c r="K1075">
        <v>3894.99</v>
      </c>
      <c r="L1075">
        <v>11956</v>
      </c>
      <c r="M1075" t="s">
        <v>62</v>
      </c>
      <c r="N1075">
        <v>150</v>
      </c>
    </row>
    <row r="1076" spans="1:14" x14ac:dyDescent="0.35">
      <c r="A1076">
        <v>101075</v>
      </c>
      <c r="B1076">
        <v>58494</v>
      </c>
      <c r="C1076" t="s">
        <v>600</v>
      </c>
      <c r="D1076" t="s">
        <v>49</v>
      </c>
      <c r="E1076" t="s">
        <v>22</v>
      </c>
      <c r="F1076" t="s">
        <v>32</v>
      </c>
      <c r="G1076" t="s">
        <v>45</v>
      </c>
      <c r="H1076">
        <v>18014</v>
      </c>
      <c r="I1076">
        <v>12610.34</v>
      </c>
      <c r="J1076">
        <v>12610.34</v>
      </c>
      <c r="K1076">
        <v>5403.66</v>
      </c>
      <c r="L1076">
        <v>5403.66</v>
      </c>
      <c r="M1076" t="s">
        <v>19</v>
      </c>
      <c r="N1076">
        <v>131</v>
      </c>
    </row>
    <row r="1077" spans="1:14" x14ac:dyDescent="0.35">
      <c r="A1077">
        <v>101076</v>
      </c>
      <c r="B1077">
        <v>35399</v>
      </c>
      <c r="C1077" t="s">
        <v>519</v>
      </c>
      <c r="D1077" t="s">
        <v>34</v>
      </c>
      <c r="E1077" t="s">
        <v>16</v>
      </c>
      <c r="F1077" t="s">
        <v>17</v>
      </c>
      <c r="G1077" t="s">
        <v>24</v>
      </c>
      <c r="H1077">
        <v>19903</v>
      </c>
      <c r="I1077">
        <v>13298.73</v>
      </c>
      <c r="J1077">
        <v>13298.73</v>
      </c>
      <c r="K1077">
        <v>6604.27</v>
      </c>
      <c r="L1077">
        <v>6604.27</v>
      </c>
      <c r="M1077" t="s">
        <v>19</v>
      </c>
      <c r="N1077">
        <v>24</v>
      </c>
    </row>
    <row r="1078" spans="1:14" x14ac:dyDescent="0.35">
      <c r="A1078">
        <v>101077</v>
      </c>
      <c r="B1078">
        <v>14408</v>
      </c>
      <c r="C1078" t="s">
        <v>324</v>
      </c>
      <c r="D1078" t="s">
        <v>49</v>
      </c>
      <c r="E1078" t="s">
        <v>26</v>
      </c>
      <c r="F1078" t="s">
        <v>27</v>
      </c>
      <c r="G1078" t="s">
        <v>24</v>
      </c>
      <c r="H1078">
        <v>8475</v>
      </c>
      <c r="I1078">
        <v>7211.19</v>
      </c>
      <c r="J1078">
        <v>3696.68</v>
      </c>
      <c r="K1078">
        <v>1263.81</v>
      </c>
      <c r="L1078">
        <v>4778.32</v>
      </c>
      <c r="M1078" t="s">
        <v>39</v>
      </c>
      <c r="N1078">
        <v>152</v>
      </c>
    </row>
    <row r="1079" spans="1:14" x14ac:dyDescent="0.35">
      <c r="A1079">
        <v>101078</v>
      </c>
      <c r="B1079">
        <v>98662</v>
      </c>
      <c r="C1079" t="s">
        <v>304</v>
      </c>
      <c r="D1079" t="s">
        <v>49</v>
      </c>
      <c r="E1079" t="s">
        <v>41</v>
      </c>
      <c r="F1079" t="s">
        <v>32</v>
      </c>
      <c r="G1079" t="s">
        <v>45</v>
      </c>
      <c r="H1079">
        <v>7067</v>
      </c>
      <c r="I1079">
        <v>4102.28</v>
      </c>
      <c r="J1079">
        <v>4102.28</v>
      </c>
      <c r="K1079">
        <v>2964.72</v>
      </c>
      <c r="L1079">
        <v>2964.72</v>
      </c>
      <c r="M1079" t="s">
        <v>19</v>
      </c>
      <c r="N1079">
        <v>124</v>
      </c>
    </row>
    <row r="1080" spans="1:14" x14ac:dyDescent="0.35">
      <c r="A1080">
        <v>101079</v>
      </c>
      <c r="B1080">
        <v>28059</v>
      </c>
      <c r="C1080" t="s">
        <v>601</v>
      </c>
      <c r="D1080" t="s">
        <v>30</v>
      </c>
      <c r="E1080" t="s">
        <v>37</v>
      </c>
      <c r="F1080" t="s">
        <v>54</v>
      </c>
      <c r="G1080" t="s">
        <v>38</v>
      </c>
      <c r="H1080">
        <v>21585</v>
      </c>
      <c r="I1080">
        <v>12770.8</v>
      </c>
      <c r="J1080">
        <v>12770.8</v>
      </c>
      <c r="K1080">
        <v>8814.2000000000007</v>
      </c>
      <c r="L1080">
        <v>8814.2000000000007</v>
      </c>
      <c r="M1080" t="s">
        <v>19</v>
      </c>
      <c r="N1080">
        <v>157</v>
      </c>
    </row>
    <row r="1081" spans="1:14" x14ac:dyDescent="0.35">
      <c r="A1081">
        <v>101080</v>
      </c>
      <c r="B1081">
        <v>33814</v>
      </c>
      <c r="C1081" t="s">
        <v>222</v>
      </c>
      <c r="D1081" t="s">
        <v>52</v>
      </c>
      <c r="E1081" t="s">
        <v>26</v>
      </c>
      <c r="F1081" t="s">
        <v>32</v>
      </c>
      <c r="G1081" t="s">
        <v>18</v>
      </c>
      <c r="H1081">
        <v>9199</v>
      </c>
      <c r="I1081">
        <v>7416.02</v>
      </c>
      <c r="J1081">
        <v>6080.26</v>
      </c>
      <c r="K1081">
        <v>1782.98</v>
      </c>
      <c r="L1081">
        <v>3118.74</v>
      </c>
      <c r="M1081" t="s">
        <v>39</v>
      </c>
      <c r="N1081">
        <v>161</v>
      </c>
    </row>
    <row r="1082" spans="1:14" x14ac:dyDescent="0.35">
      <c r="A1082">
        <v>101081</v>
      </c>
      <c r="B1082">
        <v>52049</v>
      </c>
      <c r="C1082" t="s">
        <v>602</v>
      </c>
      <c r="D1082" t="s">
        <v>65</v>
      </c>
      <c r="E1082" t="s">
        <v>43</v>
      </c>
      <c r="F1082" t="s">
        <v>35</v>
      </c>
      <c r="G1082" t="s">
        <v>47</v>
      </c>
      <c r="H1082">
        <v>8574</v>
      </c>
      <c r="I1082">
        <v>7212.09</v>
      </c>
      <c r="J1082">
        <v>7212.09</v>
      </c>
      <c r="K1082">
        <v>1361.91</v>
      </c>
      <c r="L1082">
        <v>1361.91</v>
      </c>
      <c r="M1082" t="s">
        <v>19</v>
      </c>
      <c r="N1082">
        <v>121</v>
      </c>
    </row>
    <row r="1083" spans="1:14" x14ac:dyDescent="0.35">
      <c r="A1083">
        <v>101082</v>
      </c>
      <c r="B1083">
        <v>47164</v>
      </c>
      <c r="C1083" t="s">
        <v>603</v>
      </c>
      <c r="D1083" t="s">
        <v>49</v>
      </c>
      <c r="E1083" t="s">
        <v>16</v>
      </c>
      <c r="F1083" t="s">
        <v>23</v>
      </c>
      <c r="G1083" t="s">
        <v>28</v>
      </c>
      <c r="H1083">
        <v>1527</v>
      </c>
      <c r="I1083">
        <v>984.92</v>
      </c>
      <c r="J1083">
        <v>984.92</v>
      </c>
      <c r="K1083">
        <v>542.08000000000004</v>
      </c>
      <c r="L1083">
        <v>542.08000000000004</v>
      </c>
      <c r="M1083" t="s">
        <v>19</v>
      </c>
      <c r="N1083">
        <v>104</v>
      </c>
    </row>
    <row r="1084" spans="1:14" x14ac:dyDescent="0.35">
      <c r="A1084">
        <v>101083</v>
      </c>
      <c r="B1084">
        <v>41868</v>
      </c>
      <c r="C1084" t="s">
        <v>604</v>
      </c>
      <c r="D1084" t="s">
        <v>34</v>
      </c>
      <c r="E1084" t="s">
        <v>43</v>
      </c>
      <c r="F1084" t="s">
        <v>54</v>
      </c>
      <c r="G1084" t="s">
        <v>18</v>
      </c>
      <c r="H1084">
        <v>13757</v>
      </c>
      <c r="I1084">
        <v>9823.5</v>
      </c>
      <c r="J1084">
        <v>9823.5</v>
      </c>
      <c r="K1084">
        <v>3933.5</v>
      </c>
      <c r="L1084">
        <v>3933.5</v>
      </c>
      <c r="M1084" t="s">
        <v>19</v>
      </c>
      <c r="N1084">
        <v>66</v>
      </c>
    </row>
    <row r="1085" spans="1:14" x14ac:dyDescent="0.35">
      <c r="A1085">
        <v>101084</v>
      </c>
      <c r="B1085">
        <v>57679</v>
      </c>
      <c r="C1085" t="s">
        <v>605</v>
      </c>
      <c r="D1085" t="s">
        <v>21</v>
      </c>
      <c r="E1085" t="s">
        <v>41</v>
      </c>
      <c r="F1085" t="s">
        <v>23</v>
      </c>
      <c r="G1085" t="s">
        <v>45</v>
      </c>
      <c r="H1085">
        <v>10317</v>
      </c>
      <c r="I1085">
        <v>6000.8</v>
      </c>
      <c r="J1085">
        <v>6000.8</v>
      </c>
      <c r="K1085">
        <v>4316.2</v>
      </c>
      <c r="L1085">
        <v>4316.2</v>
      </c>
      <c r="M1085" t="s">
        <v>19</v>
      </c>
      <c r="N1085">
        <v>178</v>
      </c>
    </row>
    <row r="1086" spans="1:14" x14ac:dyDescent="0.35">
      <c r="A1086">
        <v>101085</v>
      </c>
      <c r="B1086">
        <v>14047</v>
      </c>
      <c r="C1086" t="s">
        <v>303</v>
      </c>
      <c r="D1086" t="s">
        <v>15</v>
      </c>
      <c r="E1086" t="s">
        <v>43</v>
      </c>
      <c r="F1086" t="s">
        <v>32</v>
      </c>
      <c r="G1086" t="s">
        <v>47</v>
      </c>
      <c r="H1086">
        <v>13674</v>
      </c>
      <c r="I1086">
        <v>8408.5300000000007</v>
      </c>
      <c r="J1086">
        <v>8408.5300000000007</v>
      </c>
      <c r="K1086">
        <v>5265.47</v>
      </c>
      <c r="L1086">
        <v>5265.47</v>
      </c>
      <c r="M1086" t="s">
        <v>19</v>
      </c>
      <c r="N1086">
        <v>5</v>
      </c>
    </row>
    <row r="1087" spans="1:14" x14ac:dyDescent="0.35">
      <c r="A1087">
        <v>101086</v>
      </c>
      <c r="B1087">
        <v>47022</v>
      </c>
      <c r="C1087" t="s">
        <v>444</v>
      </c>
      <c r="D1087" t="s">
        <v>49</v>
      </c>
      <c r="E1087" t="s">
        <v>16</v>
      </c>
      <c r="F1087" t="s">
        <v>27</v>
      </c>
      <c r="G1087" t="s">
        <v>47</v>
      </c>
      <c r="H1087">
        <v>22288</v>
      </c>
      <c r="I1087">
        <v>19969.41</v>
      </c>
      <c r="J1087">
        <v>19969.41</v>
      </c>
      <c r="K1087">
        <v>2318.59</v>
      </c>
      <c r="L1087">
        <v>2318.59</v>
      </c>
      <c r="M1087" t="s">
        <v>19</v>
      </c>
      <c r="N1087">
        <v>116</v>
      </c>
    </row>
    <row r="1088" spans="1:14" x14ac:dyDescent="0.35">
      <c r="A1088">
        <v>101087</v>
      </c>
      <c r="B1088">
        <v>54172</v>
      </c>
      <c r="C1088" t="s">
        <v>438</v>
      </c>
      <c r="D1088" t="s">
        <v>30</v>
      </c>
      <c r="E1088" t="s">
        <v>41</v>
      </c>
      <c r="F1088" t="s">
        <v>61</v>
      </c>
      <c r="G1088" t="s">
        <v>38</v>
      </c>
      <c r="H1088">
        <v>9690</v>
      </c>
      <c r="I1088">
        <v>6796.9</v>
      </c>
      <c r="J1088">
        <v>6796.9</v>
      </c>
      <c r="K1088">
        <v>2893.1</v>
      </c>
      <c r="L1088">
        <v>2893.1</v>
      </c>
      <c r="M1088" t="s">
        <v>19</v>
      </c>
      <c r="N1088">
        <v>81</v>
      </c>
    </row>
    <row r="1089" spans="1:14" x14ac:dyDescent="0.35">
      <c r="A1089">
        <v>101088</v>
      </c>
      <c r="B1089">
        <v>32076</v>
      </c>
      <c r="C1089" t="s">
        <v>267</v>
      </c>
      <c r="D1089" t="s">
        <v>21</v>
      </c>
      <c r="E1089" t="s">
        <v>26</v>
      </c>
      <c r="F1089" t="s">
        <v>23</v>
      </c>
      <c r="G1089" t="s">
        <v>28</v>
      </c>
      <c r="H1089">
        <v>7236</v>
      </c>
      <c r="I1089">
        <v>5688.16</v>
      </c>
      <c r="J1089">
        <v>3617.97</v>
      </c>
      <c r="K1089">
        <v>1547.84</v>
      </c>
      <c r="L1089">
        <v>3618.03</v>
      </c>
      <c r="M1089" t="s">
        <v>39</v>
      </c>
      <c r="N1089">
        <v>147</v>
      </c>
    </row>
    <row r="1090" spans="1:14" x14ac:dyDescent="0.35">
      <c r="A1090">
        <v>101089</v>
      </c>
      <c r="B1090">
        <v>84688</v>
      </c>
      <c r="C1090" t="s">
        <v>606</v>
      </c>
      <c r="D1090" t="s">
        <v>21</v>
      </c>
      <c r="E1090" t="s">
        <v>26</v>
      </c>
      <c r="F1090" t="s">
        <v>17</v>
      </c>
      <c r="G1090" t="s">
        <v>47</v>
      </c>
      <c r="H1090">
        <v>6086</v>
      </c>
      <c r="I1090">
        <v>3813.37</v>
      </c>
      <c r="J1090">
        <v>3813.37</v>
      </c>
      <c r="K1090">
        <v>2272.63</v>
      </c>
      <c r="L1090">
        <v>2272.63</v>
      </c>
      <c r="M1090" t="s">
        <v>19</v>
      </c>
      <c r="N1090">
        <v>87</v>
      </c>
    </row>
    <row r="1091" spans="1:14" x14ac:dyDescent="0.35">
      <c r="A1091">
        <v>101090</v>
      </c>
      <c r="B1091">
        <v>45980</v>
      </c>
      <c r="C1091" t="s">
        <v>594</v>
      </c>
      <c r="D1091" t="s">
        <v>52</v>
      </c>
      <c r="E1091" t="s">
        <v>56</v>
      </c>
      <c r="F1091" t="s">
        <v>32</v>
      </c>
      <c r="G1091" t="s">
        <v>72</v>
      </c>
      <c r="H1091">
        <v>6300</v>
      </c>
      <c r="I1091">
        <v>5599.14</v>
      </c>
      <c r="J1091">
        <v>2553.5300000000002</v>
      </c>
      <c r="K1091">
        <v>700.86</v>
      </c>
      <c r="L1091">
        <v>3746.47</v>
      </c>
      <c r="M1091" t="s">
        <v>39</v>
      </c>
      <c r="N1091">
        <v>34</v>
      </c>
    </row>
    <row r="1092" spans="1:14" x14ac:dyDescent="0.35">
      <c r="A1092">
        <v>101091</v>
      </c>
      <c r="B1092">
        <v>89627</v>
      </c>
      <c r="C1092" t="s">
        <v>592</v>
      </c>
      <c r="D1092" t="s">
        <v>65</v>
      </c>
      <c r="E1092" t="s">
        <v>26</v>
      </c>
      <c r="F1092" t="s">
        <v>17</v>
      </c>
      <c r="G1092" t="s">
        <v>24</v>
      </c>
      <c r="H1092">
        <v>18837</v>
      </c>
      <c r="I1092">
        <v>13263.98</v>
      </c>
      <c r="J1092">
        <v>8994.44</v>
      </c>
      <c r="K1092">
        <v>5573.02</v>
      </c>
      <c r="L1092">
        <v>9842.56</v>
      </c>
      <c r="M1092" t="s">
        <v>39</v>
      </c>
      <c r="N1092">
        <v>41</v>
      </c>
    </row>
    <row r="1093" spans="1:14" x14ac:dyDescent="0.35">
      <c r="A1093">
        <v>101092</v>
      </c>
      <c r="B1093">
        <v>31390</v>
      </c>
      <c r="C1093" t="s">
        <v>246</v>
      </c>
      <c r="D1093" t="s">
        <v>21</v>
      </c>
      <c r="E1093" t="s">
        <v>37</v>
      </c>
      <c r="F1093" t="s">
        <v>27</v>
      </c>
      <c r="G1093" t="s">
        <v>38</v>
      </c>
      <c r="H1093">
        <v>14326</v>
      </c>
      <c r="I1093">
        <v>10539.2</v>
      </c>
      <c r="J1093">
        <v>10539.2</v>
      </c>
      <c r="K1093">
        <v>3786.8</v>
      </c>
      <c r="L1093">
        <v>3786.8</v>
      </c>
      <c r="M1093" t="s">
        <v>19</v>
      </c>
      <c r="N1093">
        <v>120</v>
      </c>
    </row>
    <row r="1094" spans="1:14" x14ac:dyDescent="0.35">
      <c r="A1094">
        <v>101093</v>
      </c>
      <c r="B1094">
        <v>44023</v>
      </c>
      <c r="C1094" t="s">
        <v>530</v>
      </c>
      <c r="D1094" t="s">
        <v>21</v>
      </c>
      <c r="E1094" t="s">
        <v>16</v>
      </c>
      <c r="F1094" t="s">
        <v>35</v>
      </c>
      <c r="G1094" t="s">
        <v>47</v>
      </c>
      <c r="H1094">
        <v>11856</v>
      </c>
      <c r="I1094">
        <v>10775.83</v>
      </c>
      <c r="J1094">
        <v>8679.86</v>
      </c>
      <c r="K1094">
        <v>1080.17</v>
      </c>
      <c r="L1094">
        <v>3176.14</v>
      </c>
      <c r="M1094" t="s">
        <v>39</v>
      </c>
      <c r="N1094">
        <v>107</v>
      </c>
    </row>
    <row r="1095" spans="1:14" x14ac:dyDescent="0.35">
      <c r="A1095">
        <v>101094</v>
      </c>
      <c r="B1095">
        <v>85900</v>
      </c>
      <c r="C1095" t="s">
        <v>240</v>
      </c>
      <c r="D1095" t="s">
        <v>30</v>
      </c>
      <c r="E1095" t="s">
        <v>56</v>
      </c>
      <c r="F1095" t="s">
        <v>17</v>
      </c>
      <c r="G1095" t="s">
        <v>47</v>
      </c>
      <c r="H1095">
        <v>17527</v>
      </c>
      <c r="I1095">
        <v>12110.11</v>
      </c>
      <c r="J1095">
        <v>12110.11</v>
      </c>
      <c r="K1095">
        <v>5416.89</v>
      </c>
      <c r="L1095">
        <v>5416.89</v>
      </c>
      <c r="M1095" t="s">
        <v>19</v>
      </c>
      <c r="N1095">
        <v>98</v>
      </c>
    </row>
    <row r="1096" spans="1:14" x14ac:dyDescent="0.35">
      <c r="A1096">
        <v>101095</v>
      </c>
      <c r="B1096">
        <v>95980</v>
      </c>
      <c r="C1096" t="s">
        <v>442</v>
      </c>
      <c r="D1096" t="s">
        <v>30</v>
      </c>
      <c r="E1096" t="s">
        <v>26</v>
      </c>
      <c r="F1096" t="s">
        <v>32</v>
      </c>
      <c r="G1096" t="s">
        <v>18</v>
      </c>
      <c r="H1096">
        <v>766</v>
      </c>
      <c r="I1096">
        <v>443.68</v>
      </c>
      <c r="J1096">
        <v>61.09</v>
      </c>
      <c r="K1096">
        <v>322.32</v>
      </c>
      <c r="L1096">
        <v>704.91</v>
      </c>
      <c r="M1096" t="s">
        <v>50</v>
      </c>
      <c r="N1096">
        <v>171</v>
      </c>
    </row>
    <row r="1097" spans="1:14" x14ac:dyDescent="0.35">
      <c r="A1097">
        <v>101096</v>
      </c>
      <c r="B1097">
        <v>83561</v>
      </c>
      <c r="C1097" t="s">
        <v>114</v>
      </c>
      <c r="D1097" t="s">
        <v>15</v>
      </c>
      <c r="E1097" t="s">
        <v>56</v>
      </c>
      <c r="F1097" t="s">
        <v>35</v>
      </c>
      <c r="G1097" t="s">
        <v>45</v>
      </c>
      <c r="H1097">
        <v>5609</v>
      </c>
      <c r="I1097">
        <v>4769.97</v>
      </c>
      <c r="J1097">
        <v>4769.97</v>
      </c>
      <c r="K1097">
        <v>839.03</v>
      </c>
      <c r="L1097">
        <v>839.03</v>
      </c>
      <c r="M1097" t="s">
        <v>19</v>
      </c>
      <c r="N1097">
        <v>55</v>
      </c>
    </row>
    <row r="1098" spans="1:14" x14ac:dyDescent="0.35">
      <c r="A1098">
        <v>101097</v>
      </c>
      <c r="B1098">
        <v>71998</v>
      </c>
      <c r="C1098" t="s">
        <v>356</v>
      </c>
      <c r="D1098" t="s">
        <v>49</v>
      </c>
      <c r="E1098" t="s">
        <v>43</v>
      </c>
      <c r="F1098" t="s">
        <v>27</v>
      </c>
      <c r="G1098" t="s">
        <v>72</v>
      </c>
      <c r="H1098">
        <v>15596</v>
      </c>
      <c r="I1098">
        <v>11069.14</v>
      </c>
      <c r="J1098">
        <v>6715.12</v>
      </c>
      <c r="K1098">
        <v>4526.8599999999997</v>
      </c>
      <c r="L1098">
        <v>8880.8799999999992</v>
      </c>
      <c r="M1098" t="s">
        <v>39</v>
      </c>
      <c r="N1098">
        <v>86</v>
      </c>
    </row>
    <row r="1099" spans="1:14" x14ac:dyDescent="0.35">
      <c r="A1099">
        <v>101098</v>
      </c>
      <c r="B1099">
        <v>28080</v>
      </c>
      <c r="C1099" t="s">
        <v>468</v>
      </c>
      <c r="D1099" t="s">
        <v>30</v>
      </c>
      <c r="E1099" t="s">
        <v>22</v>
      </c>
      <c r="F1099" t="s">
        <v>32</v>
      </c>
      <c r="G1099" t="s">
        <v>47</v>
      </c>
      <c r="H1099">
        <v>8413</v>
      </c>
      <c r="I1099">
        <v>7965.97</v>
      </c>
      <c r="J1099">
        <v>7965.97</v>
      </c>
      <c r="K1099">
        <v>447.03</v>
      </c>
      <c r="L1099">
        <v>447.03</v>
      </c>
      <c r="M1099" t="s">
        <v>19</v>
      </c>
      <c r="N1099">
        <v>16</v>
      </c>
    </row>
    <row r="1100" spans="1:14" x14ac:dyDescent="0.35">
      <c r="A1100">
        <v>101099</v>
      </c>
      <c r="B1100">
        <v>96464</v>
      </c>
      <c r="C1100" t="s">
        <v>320</v>
      </c>
      <c r="D1100" t="s">
        <v>15</v>
      </c>
      <c r="E1100" t="s">
        <v>37</v>
      </c>
      <c r="F1100" t="s">
        <v>54</v>
      </c>
      <c r="G1100" t="s">
        <v>72</v>
      </c>
      <c r="H1100">
        <v>10208</v>
      </c>
      <c r="I1100">
        <v>9419.0499999999993</v>
      </c>
      <c r="J1100">
        <v>6614.77</v>
      </c>
      <c r="K1100">
        <v>788.95</v>
      </c>
      <c r="L1100">
        <v>3593.23</v>
      </c>
      <c r="M1100" t="s">
        <v>39</v>
      </c>
      <c r="N1100">
        <v>10</v>
      </c>
    </row>
    <row r="1101" spans="1:14" x14ac:dyDescent="0.35">
      <c r="A1101">
        <v>101100</v>
      </c>
      <c r="B1101">
        <v>80580</v>
      </c>
      <c r="C1101" t="s">
        <v>480</v>
      </c>
      <c r="D1101" t="s">
        <v>52</v>
      </c>
      <c r="E1101" t="s">
        <v>22</v>
      </c>
      <c r="F1101" t="s">
        <v>17</v>
      </c>
      <c r="G1101" t="s">
        <v>24</v>
      </c>
      <c r="H1101">
        <v>15868</v>
      </c>
      <c r="I1101">
        <v>9436.0400000000009</v>
      </c>
      <c r="J1101">
        <v>9436.0400000000009</v>
      </c>
      <c r="K1101">
        <v>6431.96</v>
      </c>
      <c r="L1101">
        <v>6431.96</v>
      </c>
      <c r="M1101" t="s">
        <v>19</v>
      </c>
      <c r="N1101">
        <v>19</v>
      </c>
    </row>
    <row r="1102" spans="1:14" x14ac:dyDescent="0.35">
      <c r="A1102">
        <v>101101</v>
      </c>
      <c r="B1102">
        <v>65503</v>
      </c>
      <c r="C1102" t="s">
        <v>607</v>
      </c>
      <c r="D1102" t="s">
        <v>49</v>
      </c>
      <c r="E1102" t="s">
        <v>41</v>
      </c>
      <c r="F1102" t="s">
        <v>23</v>
      </c>
      <c r="G1102" t="s">
        <v>38</v>
      </c>
      <c r="H1102">
        <v>309</v>
      </c>
      <c r="I1102">
        <v>244.37</v>
      </c>
      <c r="J1102">
        <v>125.33</v>
      </c>
      <c r="K1102">
        <v>64.63</v>
      </c>
      <c r="L1102">
        <v>183.67</v>
      </c>
      <c r="M1102" t="s">
        <v>39</v>
      </c>
      <c r="N1102">
        <v>120</v>
      </c>
    </row>
    <row r="1103" spans="1:14" x14ac:dyDescent="0.35">
      <c r="A1103">
        <v>101102</v>
      </c>
      <c r="B1103">
        <v>31810</v>
      </c>
      <c r="C1103" t="s">
        <v>80</v>
      </c>
      <c r="D1103" t="s">
        <v>34</v>
      </c>
      <c r="E1103" t="s">
        <v>22</v>
      </c>
      <c r="F1103" t="s">
        <v>27</v>
      </c>
      <c r="G1103" t="s">
        <v>24</v>
      </c>
      <c r="H1103">
        <v>15592</v>
      </c>
      <c r="I1103">
        <v>13931.46</v>
      </c>
      <c r="J1103">
        <v>11114.4</v>
      </c>
      <c r="K1103">
        <v>1660.54</v>
      </c>
      <c r="L1103">
        <v>4477.6000000000004</v>
      </c>
      <c r="M1103" t="s">
        <v>39</v>
      </c>
      <c r="N1103">
        <v>83</v>
      </c>
    </row>
    <row r="1104" spans="1:14" x14ac:dyDescent="0.35">
      <c r="A1104">
        <v>101103</v>
      </c>
      <c r="B1104">
        <v>63789</v>
      </c>
      <c r="C1104" t="s">
        <v>59</v>
      </c>
      <c r="D1104" t="s">
        <v>65</v>
      </c>
      <c r="E1104" t="s">
        <v>31</v>
      </c>
      <c r="F1104" t="s">
        <v>17</v>
      </c>
      <c r="G1104" t="s">
        <v>45</v>
      </c>
      <c r="H1104">
        <v>7396</v>
      </c>
      <c r="I1104">
        <v>4162.54</v>
      </c>
      <c r="J1104">
        <v>4162.54</v>
      </c>
      <c r="K1104">
        <v>3233.46</v>
      </c>
      <c r="L1104">
        <v>3233.46</v>
      </c>
      <c r="M1104" t="s">
        <v>19</v>
      </c>
      <c r="N1104">
        <v>11</v>
      </c>
    </row>
    <row r="1105" spans="1:14" x14ac:dyDescent="0.35">
      <c r="A1105">
        <v>101104</v>
      </c>
      <c r="B1105">
        <v>59932</v>
      </c>
      <c r="C1105" t="s">
        <v>158</v>
      </c>
      <c r="D1105" t="s">
        <v>15</v>
      </c>
      <c r="E1105" t="s">
        <v>37</v>
      </c>
      <c r="F1105" t="s">
        <v>27</v>
      </c>
      <c r="G1105" t="s">
        <v>28</v>
      </c>
      <c r="H1105">
        <v>10186</v>
      </c>
      <c r="I1105">
        <v>7106.97</v>
      </c>
      <c r="J1105">
        <v>4096.7299999999996</v>
      </c>
      <c r="K1105">
        <v>3079.03</v>
      </c>
      <c r="L1105">
        <v>6089.27</v>
      </c>
      <c r="M1105" t="s">
        <v>39</v>
      </c>
      <c r="N1105">
        <v>4</v>
      </c>
    </row>
    <row r="1106" spans="1:14" x14ac:dyDescent="0.35">
      <c r="A1106">
        <v>101105</v>
      </c>
      <c r="B1106">
        <v>18254</v>
      </c>
      <c r="C1106" t="s">
        <v>381</v>
      </c>
      <c r="D1106" t="s">
        <v>15</v>
      </c>
      <c r="E1106" t="s">
        <v>26</v>
      </c>
      <c r="F1106" t="s">
        <v>35</v>
      </c>
      <c r="G1106" t="s">
        <v>24</v>
      </c>
      <c r="H1106">
        <v>23294</v>
      </c>
      <c r="I1106">
        <v>14408.47</v>
      </c>
      <c r="J1106">
        <v>14408.47</v>
      </c>
      <c r="K1106">
        <v>8885.5300000000007</v>
      </c>
      <c r="L1106">
        <v>8885.5300000000007</v>
      </c>
      <c r="M1106" t="s">
        <v>19</v>
      </c>
      <c r="N1106">
        <v>55</v>
      </c>
    </row>
    <row r="1107" spans="1:14" x14ac:dyDescent="0.35">
      <c r="A1107">
        <v>101106</v>
      </c>
      <c r="B1107">
        <v>40787</v>
      </c>
      <c r="C1107" t="s">
        <v>349</v>
      </c>
      <c r="D1107" t="s">
        <v>34</v>
      </c>
      <c r="E1107" t="s">
        <v>56</v>
      </c>
      <c r="F1107" t="s">
        <v>61</v>
      </c>
      <c r="G1107" t="s">
        <v>38</v>
      </c>
      <c r="H1107">
        <v>6346</v>
      </c>
      <c r="I1107">
        <v>5411.51</v>
      </c>
      <c r="J1107">
        <v>5411.51</v>
      </c>
      <c r="K1107">
        <v>934.49</v>
      </c>
      <c r="L1107">
        <v>934.49</v>
      </c>
      <c r="M1107" t="s">
        <v>19</v>
      </c>
      <c r="N1107">
        <v>66</v>
      </c>
    </row>
    <row r="1108" spans="1:14" x14ac:dyDescent="0.35">
      <c r="A1108">
        <v>101107</v>
      </c>
      <c r="B1108">
        <v>86995</v>
      </c>
      <c r="C1108" t="s">
        <v>91</v>
      </c>
      <c r="D1108" t="s">
        <v>65</v>
      </c>
      <c r="E1108" t="s">
        <v>16</v>
      </c>
      <c r="F1108" t="s">
        <v>54</v>
      </c>
      <c r="G1108" t="s">
        <v>28</v>
      </c>
      <c r="H1108">
        <v>8456</v>
      </c>
      <c r="I1108">
        <v>7451.64</v>
      </c>
      <c r="J1108">
        <v>7451.64</v>
      </c>
      <c r="K1108">
        <v>1004.36</v>
      </c>
      <c r="L1108">
        <v>1004.36</v>
      </c>
      <c r="M1108" t="s">
        <v>19</v>
      </c>
      <c r="N1108">
        <v>49</v>
      </c>
    </row>
    <row r="1109" spans="1:14" x14ac:dyDescent="0.35">
      <c r="A1109">
        <v>101108</v>
      </c>
      <c r="B1109">
        <v>93607</v>
      </c>
      <c r="C1109" t="s">
        <v>409</v>
      </c>
      <c r="D1109" t="s">
        <v>65</v>
      </c>
      <c r="E1109" t="s">
        <v>26</v>
      </c>
      <c r="F1109" t="s">
        <v>54</v>
      </c>
      <c r="G1109" t="s">
        <v>45</v>
      </c>
      <c r="H1109">
        <v>10782</v>
      </c>
      <c r="I1109">
        <v>7952.66</v>
      </c>
      <c r="J1109">
        <v>7952.66</v>
      </c>
      <c r="K1109">
        <v>2829.34</v>
      </c>
      <c r="L1109">
        <v>2829.34</v>
      </c>
      <c r="M1109" t="s">
        <v>19</v>
      </c>
      <c r="N1109">
        <v>16</v>
      </c>
    </row>
    <row r="1110" spans="1:14" x14ac:dyDescent="0.35">
      <c r="A1110">
        <v>101109</v>
      </c>
      <c r="B1110">
        <v>34073</v>
      </c>
      <c r="C1110" t="s">
        <v>153</v>
      </c>
      <c r="D1110" t="s">
        <v>49</v>
      </c>
      <c r="E1110" t="s">
        <v>41</v>
      </c>
      <c r="F1110" t="s">
        <v>35</v>
      </c>
      <c r="G1110" t="s">
        <v>45</v>
      </c>
      <c r="H1110">
        <v>3745</v>
      </c>
      <c r="I1110">
        <v>2597.4499999999998</v>
      </c>
      <c r="J1110">
        <v>0</v>
      </c>
      <c r="K1110">
        <v>1147.55</v>
      </c>
      <c r="L1110">
        <v>3745</v>
      </c>
      <c r="M1110" t="s">
        <v>62</v>
      </c>
      <c r="N1110">
        <v>41</v>
      </c>
    </row>
    <row r="1111" spans="1:14" x14ac:dyDescent="0.35">
      <c r="A1111">
        <v>101110</v>
      </c>
      <c r="B1111">
        <v>35677</v>
      </c>
      <c r="C1111" t="s">
        <v>549</v>
      </c>
      <c r="D1111" t="s">
        <v>49</v>
      </c>
      <c r="E1111" t="s">
        <v>37</v>
      </c>
      <c r="F1111" t="s">
        <v>23</v>
      </c>
      <c r="G1111" t="s">
        <v>28</v>
      </c>
      <c r="H1111">
        <v>16705</v>
      </c>
      <c r="I1111">
        <v>9530.67</v>
      </c>
      <c r="J1111">
        <v>0</v>
      </c>
      <c r="K1111">
        <v>7174.33</v>
      </c>
      <c r="L1111">
        <v>16705</v>
      </c>
      <c r="M1111" t="s">
        <v>62</v>
      </c>
      <c r="N1111">
        <v>123</v>
      </c>
    </row>
    <row r="1112" spans="1:14" x14ac:dyDescent="0.35">
      <c r="A1112">
        <v>101111</v>
      </c>
      <c r="B1112">
        <v>10827</v>
      </c>
      <c r="C1112" t="s">
        <v>608</v>
      </c>
      <c r="D1112" t="s">
        <v>49</v>
      </c>
      <c r="E1112" t="s">
        <v>43</v>
      </c>
      <c r="F1112" t="s">
        <v>44</v>
      </c>
      <c r="G1112" t="s">
        <v>72</v>
      </c>
      <c r="H1112">
        <v>19900</v>
      </c>
      <c r="I1112">
        <v>16749.03</v>
      </c>
      <c r="J1112">
        <v>16749.03</v>
      </c>
      <c r="K1112">
        <v>3150.97</v>
      </c>
      <c r="L1112">
        <v>3150.97</v>
      </c>
      <c r="M1112" t="s">
        <v>19</v>
      </c>
      <c r="N1112">
        <v>34</v>
      </c>
    </row>
    <row r="1113" spans="1:14" x14ac:dyDescent="0.35">
      <c r="A1113">
        <v>101112</v>
      </c>
      <c r="B1113">
        <v>69634</v>
      </c>
      <c r="C1113" t="s">
        <v>193</v>
      </c>
      <c r="D1113" t="s">
        <v>52</v>
      </c>
      <c r="E1113" t="s">
        <v>16</v>
      </c>
      <c r="F1113" t="s">
        <v>17</v>
      </c>
      <c r="G1113" t="s">
        <v>38</v>
      </c>
      <c r="H1113">
        <v>16460</v>
      </c>
      <c r="I1113">
        <v>14010.88</v>
      </c>
      <c r="J1113">
        <v>14010.88</v>
      </c>
      <c r="K1113">
        <v>2449.12</v>
      </c>
      <c r="L1113">
        <v>2449.12</v>
      </c>
      <c r="M1113" t="s">
        <v>19</v>
      </c>
      <c r="N1113">
        <v>127</v>
      </c>
    </row>
    <row r="1114" spans="1:14" x14ac:dyDescent="0.35">
      <c r="A1114">
        <v>101113</v>
      </c>
      <c r="B1114">
        <v>34628</v>
      </c>
      <c r="C1114" t="s">
        <v>352</v>
      </c>
      <c r="D1114" t="s">
        <v>52</v>
      </c>
      <c r="E1114" t="s">
        <v>22</v>
      </c>
      <c r="F1114" t="s">
        <v>23</v>
      </c>
      <c r="G1114" t="s">
        <v>47</v>
      </c>
      <c r="H1114">
        <v>23338</v>
      </c>
      <c r="I1114">
        <v>14668.06</v>
      </c>
      <c r="J1114">
        <v>14668.06</v>
      </c>
      <c r="K1114">
        <v>8669.94</v>
      </c>
      <c r="L1114">
        <v>8669.94</v>
      </c>
      <c r="M1114" t="s">
        <v>19</v>
      </c>
      <c r="N1114">
        <v>98</v>
      </c>
    </row>
    <row r="1115" spans="1:14" x14ac:dyDescent="0.35">
      <c r="A1115">
        <v>101114</v>
      </c>
      <c r="B1115">
        <v>61554</v>
      </c>
      <c r="C1115" t="s">
        <v>575</v>
      </c>
      <c r="D1115" t="s">
        <v>34</v>
      </c>
      <c r="E1115" t="s">
        <v>43</v>
      </c>
      <c r="F1115" t="s">
        <v>44</v>
      </c>
      <c r="G1115" t="s">
        <v>47</v>
      </c>
      <c r="H1115">
        <v>16742</v>
      </c>
      <c r="I1115">
        <v>13947.04</v>
      </c>
      <c r="J1115">
        <v>2350.4899999999998</v>
      </c>
      <c r="K1115">
        <v>2794.96</v>
      </c>
      <c r="L1115">
        <v>14391.51</v>
      </c>
      <c r="M1115" t="s">
        <v>50</v>
      </c>
      <c r="N1115">
        <v>49</v>
      </c>
    </row>
    <row r="1116" spans="1:14" x14ac:dyDescent="0.35">
      <c r="A1116">
        <v>101115</v>
      </c>
      <c r="B1116">
        <v>35272</v>
      </c>
      <c r="C1116" t="s">
        <v>609</v>
      </c>
      <c r="D1116" t="s">
        <v>15</v>
      </c>
      <c r="E1116" t="s">
        <v>16</v>
      </c>
      <c r="F1116" t="s">
        <v>32</v>
      </c>
      <c r="G1116" t="s">
        <v>45</v>
      </c>
      <c r="H1116">
        <v>1876</v>
      </c>
      <c r="I1116">
        <v>1289.5</v>
      </c>
      <c r="J1116">
        <v>1289.5</v>
      </c>
      <c r="K1116">
        <v>586.5</v>
      </c>
      <c r="L1116">
        <v>586.5</v>
      </c>
      <c r="M1116" t="s">
        <v>19</v>
      </c>
      <c r="N1116">
        <v>69</v>
      </c>
    </row>
    <row r="1117" spans="1:14" x14ac:dyDescent="0.35">
      <c r="A1117">
        <v>101116</v>
      </c>
      <c r="B1117">
        <v>25837</v>
      </c>
      <c r="C1117" t="s">
        <v>233</v>
      </c>
      <c r="D1117" t="s">
        <v>30</v>
      </c>
      <c r="E1117" t="s">
        <v>37</v>
      </c>
      <c r="F1117" t="s">
        <v>27</v>
      </c>
      <c r="G1117" t="s">
        <v>47</v>
      </c>
      <c r="H1117">
        <v>11578</v>
      </c>
      <c r="I1117">
        <v>10918.38</v>
      </c>
      <c r="J1117">
        <v>9826.25</v>
      </c>
      <c r="K1117">
        <v>659.62</v>
      </c>
      <c r="L1117">
        <v>1751.75</v>
      </c>
      <c r="M1117" t="s">
        <v>39</v>
      </c>
      <c r="N1117">
        <v>135</v>
      </c>
    </row>
    <row r="1118" spans="1:14" x14ac:dyDescent="0.35">
      <c r="A1118">
        <v>101117</v>
      </c>
      <c r="B1118">
        <v>24944</v>
      </c>
      <c r="C1118" t="s">
        <v>559</v>
      </c>
      <c r="D1118" t="s">
        <v>65</v>
      </c>
      <c r="E1118" t="s">
        <v>31</v>
      </c>
      <c r="F1118" t="s">
        <v>32</v>
      </c>
      <c r="G1118" t="s">
        <v>45</v>
      </c>
      <c r="H1118">
        <v>12027</v>
      </c>
      <c r="I1118">
        <v>8862.91</v>
      </c>
      <c r="J1118">
        <v>0</v>
      </c>
      <c r="K1118">
        <v>3164.09</v>
      </c>
      <c r="L1118">
        <v>12027</v>
      </c>
      <c r="M1118" t="s">
        <v>62</v>
      </c>
      <c r="N1118">
        <v>68</v>
      </c>
    </row>
    <row r="1119" spans="1:14" x14ac:dyDescent="0.35">
      <c r="A1119">
        <v>101118</v>
      </c>
      <c r="B1119">
        <v>98642</v>
      </c>
      <c r="C1119" t="s">
        <v>551</v>
      </c>
      <c r="D1119" t="s">
        <v>65</v>
      </c>
      <c r="E1119" t="s">
        <v>56</v>
      </c>
      <c r="F1119" t="s">
        <v>35</v>
      </c>
      <c r="G1119" t="s">
        <v>18</v>
      </c>
      <c r="H1119">
        <v>7676</v>
      </c>
      <c r="I1119">
        <v>7164.46</v>
      </c>
      <c r="J1119">
        <v>7164.46</v>
      </c>
      <c r="K1119">
        <v>511.54</v>
      </c>
      <c r="L1119">
        <v>511.54</v>
      </c>
      <c r="M1119" t="s">
        <v>19</v>
      </c>
      <c r="N1119">
        <v>114</v>
      </c>
    </row>
    <row r="1120" spans="1:14" x14ac:dyDescent="0.35">
      <c r="A1120">
        <v>101119</v>
      </c>
      <c r="B1120">
        <v>40920</v>
      </c>
      <c r="C1120" t="s">
        <v>439</v>
      </c>
      <c r="D1120" t="s">
        <v>30</v>
      </c>
      <c r="E1120" t="s">
        <v>16</v>
      </c>
      <c r="F1120" t="s">
        <v>35</v>
      </c>
      <c r="G1120" t="s">
        <v>28</v>
      </c>
      <c r="H1120">
        <v>5450</v>
      </c>
      <c r="I1120">
        <v>4460.78</v>
      </c>
      <c r="J1120">
        <v>0</v>
      </c>
      <c r="K1120">
        <v>989.22</v>
      </c>
      <c r="L1120">
        <v>5450</v>
      </c>
      <c r="M1120" t="s">
        <v>62</v>
      </c>
      <c r="N1120">
        <v>135</v>
      </c>
    </row>
    <row r="1121" spans="1:14" x14ac:dyDescent="0.35">
      <c r="A1121">
        <v>101120</v>
      </c>
      <c r="B1121">
        <v>76585</v>
      </c>
      <c r="C1121" t="s">
        <v>610</v>
      </c>
      <c r="D1121" t="s">
        <v>34</v>
      </c>
      <c r="E1121" t="s">
        <v>26</v>
      </c>
      <c r="F1121" t="s">
        <v>23</v>
      </c>
      <c r="G1121" t="s">
        <v>47</v>
      </c>
      <c r="H1121">
        <v>20142</v>
      </c>
      <c r="I1121">
        <v>16766.12</v>
      </c>
      <c r="J1121">
        <v>16766.12</v>
      </c>
      <c r="K1121">
        <v>3375.88</v>
      </c>
      <c r="L1121">
        <v>3375.88</v>
      </c>
      <c r="M1121" t="s">
        <v>19</v>
      </c>
      <c r="N1121">
        <v>117</v>
      </c>
    </row>
    <row r="1122" spans="1:14" x14ac:dyDescent="0.35">
      <c r="A1122">
        <v>101121</v>
      </c>
      <c r="B1122">
        <v>74666</v>
      </c>
      <c r="C1122" t="s">
        <v>600</v>
      </c>
      <c r="D1122" t="s">
        <v>34</v>
      </c>
      <c r="E1122" t="s">
        <v>43</v>
      </c>
      <c r="F1122" t="s">
        <v>23</v>
      </c>
      <c r="G1122" t="s">
        <v>18</v>
      </c>
      <c r="H1122">
        <v>2580</v>
      </c>
      <c r="I1122">
        <v>2020.8</v>
      </c>
      <c r="J1122">
        <v>2020.8</v>
      </c>
      <c r="K1122">
        <v>559.20000000000005</v>
      </c>
      <c r="L1122">
        <v>559.20000000000005</v>
      </c>
      <c r="M1122" t="s">
        <v>19</v>
      </c>
      <c r="N1122">
        <v>87</v>
      </c>
    </row>
    <row r="1123" spans="1:14" x14ac:dyDescent="0.35">
      <c r="A1123">
        <v>101122</v>
      </c>
      <c r="B1123">
        <v>97063</v>
      </c>
      <c r="C1123" t="s">
        <v>95</v>
      </c>
      <c r="D1123" t="s">
        <v>49</v>
      </c>
      <c r="E1123" t="s">
        <v>37</v>
      </c>
      <c r="F1123" t="s">
        <v>35</v>
      </c>
      <c r="G1123" t="s">
        <v>24</v>
      </c>
      <c r="H1123">
        <v>3496</v>
      </c>
      <c r="I1123">
        <v>3207.55</v>
      </c>
      <c r="J1123">
        <v>3207.55</v>
      </c>
      <c r="K1123">
        <v>288.45</v>
      </c>
      <c r="L1123">
        <v>288.45</v>
      </c>
      <c r="M1123" t="s">
        <v>19</v>
      </c>
      <c r="N1123">
        <v>116</v>
      </c>
    </row>
    <row r="1124" spans="1:14" x14ac:dyDescent="0.35">
      <c r="A1124">
        <v>101123</v>
      </c>
      <c r="B1124">
        <v>30110</v>
      </c>
      <c r="C1124" t="s">
        <v>611</v>
      </c>
      <c r="D1124" t="s">
        <v>65</v>
      </c>
      <c r="E1124" t="s">
        <v>22</v>
      </c>
      <c r="F1124" t="s">
        <v>44</v>
      </c>
      <c r="G1124" t="s">
        <v>38</v>
      </c>
      <c r="H1124">
        <v>1929</v>
      </c>
      <c r="I1124">
        <v>1266.48</v>
      </c>
      <c r="J1124">
        <v>282.88</v>
      </c>
      <c r="K1124">
        <v>662.52</v>
      </c>
      <c r="L1124">
        <v>1646.12</v>
      </c>
      <c r="M1124" t="s">
        <v>50</v>
      </c>
      <c r="N1124">
        <v>135</v>
      </c>
    </row>
    <row r="1125" spans="1:14" x14ac:dyDescent="0.35">
      <c r="A1125">
        <v>101124</v>
      </c>
      <c r="B1125">
        <v>52186</v>
      </c>
      <c r="C1125" t="s">
        <v>107</v>
      </c>
      <c r="D1125" t="s">
        <v>49</v>
      </c>
      <c r="E1125" t="s">
        <v>22</v>
      </c>
      <c r="F1125" t="s">
        <v>23</v>
      </c>
      <c r="G1125" t="s">
        <v>18</v>
      </c>
      <c r="H1125">
        <v>10392</v>
      </c>
      <c r="I1125">
        <v>8552.2199999999993</v>
      </c>
      <c r="J1125">
        <v>8552.2199999999993</v>
      </c>
      <c r="K1125">
        <v>1839.78</v>
      </c>
      <c r="L1125">
        <v>1839.78</v>
      </c>
      <c r="M1125" t="s">
        <v>19</v>
      </c>
      <c r="N1125">
        <v>10</v>
      </c>
    </row>
    <row r="1126" spans="1:14" x14ac:dyDescent="0.35">
      <c r="A1126">
        <v>101125</v>
      </c>
      <c r="B1126">
        <v>16318</v>
      </c>
      <c r="C1126" t="s">
        <v>519</v>
      </c>
      <c r="D1126" t="s">
        <v>30</v>
      </c>
      <c r="E1126" t="s">
        <v>16</v>
      </c>
      <c r="F1126" t="s">
        <v>32</v>
      </c>
      <c r="G1126" t="s">
        <v>24</v>
      </c>
      <c r="H1126">
        <v>9639</v>
      </c>
      <c r="I1126">
        <v>6687.54</v>
      </c>
      <c r="J1126">
        <v>3091.69</v>
      </c>
      <c r="K1126">
        <v>2951.46</v>
      </c>
      <c r="L1126">
        <v>6547.31</v>
      </c>
      <c r="M1126" t="s">
        <v>39</v>
      </c>
      <c r="N1126">
        <v>72</v>
      </c>
    </row>
    <row r="1127" spans="1:14" x14ac:dyDescent="0.35">
      <c r="A1127">
        <v>101126</v>
      </c>
      <c r="B1127">
        <v>12229</v>
      </c>
      <c r="C1127" t="s">
        <v>212</v>
      </c>
      <c r="D1127" t="s">
        <v>52</v>
      </c>
      <c r="E1127" t="s">
        <v>43</v>
      </c>
      <c r="F1127" t="s">
        <v>17</v>
      </c>
      <c r="G1127" t="s">
        <v>45</v>
      </c>
      <c r="H1127">
        <v>9989</v>
      </c>
      <c r="I1127">
        <v>7648.75</v>
      </c>
      <c r="J1127">
        <v>5715.44</v>
      </c>
      <c r="K1127">
        <v>2340.25</v>
      </c>
      <c r="L1127">
        <v>4273.5600000000004</v>
      </c>
      <c r="M1127" t="s">
        <v>39</v>
      </c>
      <c r="N1127">
        <v>83</v>
      </c>
    </row>
    <row r="1128" spans="1:14" x14ac:dyDescent="0.35">
      <c r="A1128">
        <v>101127</v>
      </c>
      <c r="B1128">
        <v>17044</v>
      </c>
      <c r="C1128" t="s">
        <v>584</v>
      </c>
      <c r="D1128" t="s">
        <v>65</v>
      </c>
      <c r="E1128" t="s">
        <v>43</v>
      </c>
      <c r="F1128" t="s">
        <v>23</v>
      </c>
      <c r="G1128" t="s">
        <v>18</v>
      </c>
      <c r="H1128">
        <v>23286</v>
      </c>
      <c r="I1128">
        <v>15506.97</v>
      </c>
      <c r="J1128">
        <v>15506.97</v>
      </c>
      <c r="K1128">
        <v>7779.03</v>
      </c>
      <c r="L1128">
        <v>7779.03</v>
      </c>
      <c r="M1128" t="s">
        <v>19</v>
      </c>
      <c r="N1128">
        <v>171</v>
      </c>
    </row>
    <row r="1129" spans="1:14" x14ac:dyDescent="0.35">
      <c r="A1129">
        <v>101128</v>
      </c>
      <c r="B1129">
        <v>23000</v>
      </c>
      <c r="C1129" t="s">
        <v>79</v>
      </c>
      <c r="D1129" t="s">
        <v>34</v>
      </c>
      <c r="E1129" t="s">
        <v>22</v>
      </c>
      <c r="F1129" t="s">
        <v>27</v>
      </c>
      <c r="G1129" t="s">
        <v>47</v>
      </c>
      <c r="H1129">
        <v>19647</v>
      </c>
      <c r="I1129">
        <v>12696.18</v>
      </c>
      <c r="J1129">
        <v>12696.18</v>
      </c>
      <c r="K1129">
        <v>6950.82</v>
      </c>
      <c r="L1129">
        <v>6950.82</v>
      </c>
      <c r="M1129" t="s">
        <v>19</v>
      </c>
      <c r="N1129">
        <v>63</v>
      </c>
    </row>
    <row r="1130" spans="1:14" x14ac:dyDescent="0.35">
      <c r="A1130">
        <v>101129</v>
      </c>
      <c r="B1130">
        <v>73280</v>
      </c>
      <c r="C1130" t="s">
        <v>309</v>
      </c>
      <c r="D1130" t="s">
        <v>34</v>
      </c>
      <c r="E1130" t="s">
        <v>16</v>
      </c>
      <c r="F1130" t="s">
        <v>54</v>
      </c>
      <c r="G1130" t="s">
        <v>47</v>
      </c>
      <c r="H1130">
        <v>15778</v>
      </c>
      <c r="I1130">
        <v>14587.98</v>
      </c>
      <c r="J1130">
        <v>6829.41</v>
      </c>
      <c r="K1130">
        <v>1190.02</v>
      </c>
      <c r="L1130">
        <v>8948.59</v>
      </c>
      <c r="M1130" t="s">
        <v>39</v>
      </c>
      <c r="N1130">
        <v>34</v>
      </c>
    </row>
    <row r="1131" spans="1:14" x14ac:dyDescent="0.35">
      <c r="A1131">
        <v>101130</v>
      </c>
      <c r="B1131">
        <v>39112</v>
      </c>
      <c r="C1131" t="s">
        <v>338</v>
      </c>
      <c r="D1131" t="s">
        <v>49</v>
      </c>
      <c r="E1131" t="s">
        <v>37</v>
      </c>
      <c r="F1131" t="s">
        <v>35</v>
      </c>
      <c r="G1131" t="s">
        <v>38</v>
      </c>
      <c r="H1131">
        <v>14811</v>
      </c>
      <c r="I1131">
        <v>11493.74</v>
      </c>
      <c r="J1131">
        <v>11493.74</v>
      </c>
      <c r="K1131">
        <v>3317.26</v>
      </c>
      <c r="L1131">
        <v>3317.26</v>
      </c>
      <c r="M1131" t="s">
        <v>19</v>
      </c>
      <c r="N1131">
        <v>52</v>
      </c>
    </row>
    <row r="1132" spans="1:14" x14ac:dyDescent="0.35">
      <c r="A1132">
        <v>101131</v>
      </c>
      <c r="B1132">
        <v>38745</v>
      </c>
      <c r="C1132" t="s">
        <v>290</v>
      </c>
      <c r="D1132" t="s">
        <v>65</v>
      </c>
      <c r="E1132" t="s">
        <v>22</v>
      </c>
      <c r="F1132" t="s">
        <v>32</v>
      </c>
      <c r="G1132" t="s">
        <v>18</v>
      </c>
      <c r="H1132">
        <v>5320</v>
      </c>
      <c r="I1132">
        <v>4092.76</v>
      </c>
      <c r="J1132">
        <v>1014.44</v>
      </c>
      <c r="K1132">
        <v>1227.24</v>
      </c>
      <c r="L1132">
        <v>4305.5600000000004</v>
      </c>
      <c r="M1132" t="s">
        <v>50</v>
      </c>
      <c r="N1132">
        <v>76</v>
      </c>
    </row>
    <row r="1133" spans="1:14" x14ac:dyDescent="0.35">
      <c r="A1133">
        <v>101132</v>
      </c>
      <c r="B1133">
        <v>73863</v>
      </c>
      <c r="C1133" t="s">
        <v>487</v>
      </c>
      <c r="D1133" t="s">
        <v>15</v>
      </c>
      <c r="E1133" t="s">
        <v>43</v>
      </c>
      <c r="F1133" t="s">
        <v>17</v>
      </c>
      <c r="G1133" t="s">
        <v>38</v>
      </c>
      <c r="H1133">
        <v>8413</v>
      </c>
      <c r="I1133">
        <v>7942.99</v>
      </c>
      <c r="J1133">
        <v>591.45000000000005</v>
      </c>
      <c r="K1133">
        <v>470.01</v>
      </c>
      <c r="L1133">
        <v>7821.55</v>
      </c>
      <c r="M1133" t="s">
        <v>50</v>
      </c>
      <c r="N1133">
        <v>108</v>
      </c>
    </row>
    <row r="1134" spans="1:14" x14ac:dyDescent="0.35">
      <c r="A1134">
        <v>101133</v>
      </c>
      <c r="B1134">
        <v>61980</v>
      </c>
      <c r="C1134" t="s">
        <v>203</v>
      </c>
      <c r="D1134" t="s">
        <v>34</v>
      </c>
      <c r="E1134" t="s">
        <v>26</v>
      </c>
      <c r="F1134" t="s">
        <v>44</v>
      </c>
      <c r="G1134" t="s">
        <v>38</v>
      </c>
      <c r="H1134">
        <v>905</v>
      </c>
      <c r="I1134">
        <v>744.05</v>
      </c>
      <c r="J1134">
        <v>744.05</v>
      </c>
      <c r="K1134">
        <v>160.94999999999999</v>
      </c>
      <c r="L1134">
        <v>160.94999999999999</v>
      </c>
      <c r="M1134" t="s">
        <v>19</v>
      </c>
      <c r="N1134">
        <v>73</v>
      </c>
    </row>
    <row r="1135" spans="1:14" x14ac:dyDescent="0.35">
      <c r="A1135">
        <v>101134</v>
      </c>
      <c r="B1135">
        <v>81995</v>
      </c>
      <c r="C1135" t="s">
        <v>612</v>
      </c>
      <c r="D1135" t="s">
        <v>65</v>
      </c>
      <c r="E1135" t="s">
        <v>43</v>
      </c>
      <c r="F1135" t="s">
        <v>23</v>
      </c>
      <c r="G1135" t="s">
        <v>45</v>
      </c>
      <c r="H1135">
        <v>5343</v>
      </c>
      <c r="I1135">
        <v>4791.55</v>
      </c>
      <c r="J1135">
        <v>107.92</v>
      </c>
      <c r="K1135">
        <v>551.45000000000005</v>
      </c>
      <c r="L1135">
        <v>5235.08</v>
      </c>
      <c r="M1135" t="s">
        <v>50</v>
      </c>
      <c r="N1135">
        <v>74</v>
      </c>
    </row>
    <row r="1136" spans="1:14" x14ac:dyDescent="0.35">
      <c r="A1136">
        <v>101135</v>
      </c>
      <c r="B1136">
        <v>52092</v>
      </c>
      <c r="C1136" t="s">
        <v>139</v>
      </c>
      <c r="D1136" t="s">
        <v>65</v>
      </c>
      <c r="E1136" t="s">
        <v>43</v>
      </c>
      <c r="F1136" t="s">
        <v>35</v>
      </c>
      <c r="G1136" t="s">
        <v>18</v>
      </c>
      <c r="H1136">
        <v>23098</v>
      </c>
      <c r="I1136">
        <v>18463.45</v>
      </c>
      <c r="J1136">
        <v>18463.45</v>
      </c>
      <c r="K1136">
        <v>4634.55</v>
      </c>
      <c r="L1136">
        <v>4634.55</v>
      </c>
      <c r="M1136" t="s">
        <v>19</v>
      </c>
      <c r="N1136">
        <v>44</v>
      </c>
    </row>
    <row r="1137" spans="1:14" x14ac:dyDescent="0.35">
      <c r="A1137">
        <v>101136</v>
      </c>
      <c r="B1137">
        <v>83881</v>
      </c>
      <c r="C1137" t="s">
        <v>307</v>
      </c>
      <c r="D1137" t="s">
        <v>34</v>
      </c>
      <c r="E1137" t="s">
        <v>37</v>
      </c>
      <c r="F1137" t="s">
        <v>17</v>
      </c>
      <c r="G1137" t="s">
        <v>72</v>
      </c>
      <c r="H1137">
        <v>10550</v>
      </c>
      <c r="I1137">
        <v>5850.99</v>
      </c>
      <c r="J1137">
        <v>5850.99</v>
      </c>
      <c r="K1137">
        <v>4699.01</v>
      </c>
      <c r="L1137">
        <v>4699.01</v>
      </c>
      <c r="M1137" t="s">
        <v>19</v>
      </c>
      <c r="N1137">
        <v>154</v>
      </c>
    </row>
    <row r="1138" spans="1:14" x14ac:dyDescent="0.35">
      <c r="A1138">
        <v>101137</v>
      </c>
      <c r="B1138">
        <v>45651</v>
      </c>
      <c r="C1138" t="s">
        <v>122</v>
      </c>
      <c r="D1138" t="s">
        <v>30</v>
      </c>
      <c r="E1138" t="s">
        <v>16</v>
      </c>
      <c r="F1138" t="s">
        <v>17</v>
      </c>
      <c r="G1138" t="s">
        <v>38</v>
      </c>
      <c r="H1138">
        <v>1725</v>
      </c>
      <c r="I1138">
        <v>1029.43</v>
      </c>
      <c r="J1138">
        <v>1029.43</v>
      </c>
      <c r="K1138">
        <v>695.57</v>
      </c>
      <c r="L1138">
        <v>695.57</v>
      </c>
      <c r="M1138" t="s">
        <v>19</v>
      </c>
      <c r="N1138">
        <v>31</v>
      </c>
    </row>
    <row r="1139" spans="1:14" x14ac:dyDescent="0.35">
      <c r="A1139">
        <v>101138</v>
      </c>
      <c r="B1139">
        <v>59875</v>
      </c>
      <c r="C1139" t="s">
        <v>304</v>
      </c>
      <c r="D1139" t="s">
        <v>65</v>
      </c>
      <c r="E1139" t="s">
        <v>16</v>
      </c>
      <c r="F1139" t="s">
        <v>23</v>
      </c>
      <c r="G1139" t="s">
        <v>72</v>
      </c>
      <c r="H1139">
        <v>3793</v>
      </c>
      <c r="I1139">
        <v>3478.91</v>
      </c>
      <c r="J1139">
        <v>3478.91</v>
      </c>
      <c r="K1139">
        <v>314.08999999999997</v>
      </c>
      <c r="L1139">
        <v>314.08999999999997</v>
      </c>
      <c r="M1139" t="s">
        <v>19</v>
      </c>
      <c r="N1139">
        <v>69</v>
      </c>
    </row>
    <row r="1140" spans="1:14" x14ac:dyDescent="0.35">
      <c r="A1140">
        <v>101139</v>
      </c>
      <c r="B1140">
        <v>59801</v>
      </c>
      <c r="C1140" t="s">
        <v>349</v>
      </c>
      <c r="D1140" t="s">
        <v>21</v>
      </c>
      <c r="E1140" t="s">
        <v>56</v>
      </c>
      <c r="F1140" t="s">
        <v>23</v>
      </c>
      <c r="G1140" t="s">
        <v>72</v>
      </c>
      <c r="H1140">
        <v>3676</v>
      </c>
      <c r="I1140">
        <v>2509.85</v>
      </c>
      <c r="J1140">
        <v>1377.74</v>
      </c>
      <c r="K1140">
        <v>1166.1500000000001</v>
      </c>
      <c r="L1140">
        <v>2298.2600000000002</v>
      </c>
      <c r="M1140" t="s">
        <v>39</v>
      </c>
      <c r="N1140">
        <v>53</v>
      </c>
    </row>
    <row r="1141" spans="1:14" x14ac:dyDescent="0.35">
      <c r="A1141">
        <v>101140</v>
      </c>
      <c r="B1141">
        <v>34169</v>
      </c>
      <c r="C1141" t="s">
        <v>320</v>
      </c>
      <c r="D1141" t="s">
        <v>52</v>
      </c>
      <c r="E1141" t="s">
        <v>16</v>
      </c>
      <c r="F1141" t="s">
        <v>32</v>
      </c>
      <c r="G1141" t="s">
        <v>45</v>
      </c>
      <c r="H1141">
        <v>9522</v>
      </c>
      <c r="I1141">
        <v>6944.47</v>
      </c>
      <c r="J1141">
        <v>6944.47</v>
      </c>
      <c r="K1141">
        <v>2577.5300000000002</v>
      </c>
      <c r="L1141">
        <v>2577.5300000000002</v>
      </c>
      <c r="M1141" t="s">
        <v>19</v>
      </c>
      <c r="N1141">
        <v>141</v>
      </c>
    </row>
    <row r="1142" spans="1:14" x14ac:dyDescent="0.35">
      <c r="A1142">
        <v>101141</v>
      </c>
      <c r="B1142">
        <v>34902</v>
      </c>
      <c r="C1142" t="s">
        <v>522</v>
      </c>
      <c r="D1142" t="s">
        <v>15</v>
      </c>
      <c r="E1142" t="s">
        <v>31</v>
      </c>
      <c r="F1142" t="s">
        <v>61</v>
      </c>
      <c r="G1142" t="s">
        <v>38</v>
      </c>
      <c r="H1142">
        <v>12144</v>
      </c>
      <c r="I1142">
        <v>10797.49</v>
      </c>
      <c r="J1142">
        <v>10797.49</v>
      </c>
      <c r="K1142">
        <v>1346.51</v>
      </c>
      <c r="L1142">
        <v>1346.51</v>
      </c>
      <c r="M1142" t="s">
        <v>19</v>
      </c>
      <c r="N1142">
        <v>41</v>
      </c>
    </row>
    <row r="1143" spans="1:14" x14ac:dyDescent="0.35">
      <c r="A1143">
        <v>101142</v>
      </c>
      <c r="B1143">
        <v>96354</v>
      </c>
      <c r="C1143" t="s">
        <v>77</v>
      </c>
      <c r="D1143" t="s">
        <v>30</v>
      </c>
      <c r="E1143" t="s">
        <v>26</v>
      </c>
      <c r="F1143" t="s">
        <v>32</v>
      </c>
      <c r="G1143" t="s">
        <v>18</v>
      </c>
      <c r="H1143">
        <v>21829</v>
      </c>
      <c r="I1143">
        <v>16985.099999999999</v>
      </c>
      <c r="J1143">
        <v>12761.48</v>
      </c>
      <c r="K1143">
        <v>4843.8999999999996</v>
      </c>
      <c r="L1143">
        <v>9067.52</v>
      </c>
      <c r="M1143" t="s">
        <v>39</v>
      </c>
      <c r="N1143">
        <v>112</v>
      </c>
    </row>
    <row r="1144" spans="1:14" x14ac:dyDescent="0.35">
      <c r="A1144">
        <v>101143</v>
      </c>
      <c r="B1144">
        <v>25591</v>
      </c>
      <c r="C1144" t="s">
        <v>458</v>
      </c>
      <c r="D1144" t="s">
        <v>21</v>
      </c>
      <c r="E1144" t="s">
        <v>26</v>
      </c>
      <c r="F1144" t="s">
        <v>35</v>
      </c>
      <c r="G1144" t="s">
        <v>47</v>
      </c>
      <c r="H1144">
        <v>11295</v>
      </c>
      <c r="I1144">
        <v>7585.9</v>
      </c>
      <c r="J1144">
        <v>7585.9</v>
      </c>
      <c r="K1144">
        <v>3709.1</v>
      </c>
      <c r="L1144">
        <v>3709.1</v>
      </c>
      <c r="M1144" t="s">
        <v>19</v>
      </c>
      <c r="N1144">
        <v>13</v>
      </c>
    </row>
    <row r="1145" spans="1:14" x14ac:dyDescent="0.35">
      <c r="A1145">
        <v>101144</v>
      </c>
      <c r="B1145">
        <v>72604</v>
      </c>
      <c r="C1145" t="s">
        <v>67</v>
      </c>
      <c r="D1145" t="s">
        <v>49</v>
      </c>
      <c r="E1145" t="s">
        <v>43</v>
      </c>
      <c r="F1145" t="s">
        <v>27</v>
      </c>
      <c r="G1145" t="s">
        <v>28</v>
      </c>
      <c r="H1145">
        <v>8462</v>
      </c>
      <c r="I1145">
        <v>6959.75</v>
      </c>
      <c r="J1145">
        <v>6959.75</v>
      </c>
      <c r="K1145">
        <v>1502.25</v>
      </c>
      <c r="L1145">
        <v>1502.25</v>
      </c>
      <c r="M1145" t="s">
        <v>19</v>
      </c>
      <c r="N1145">
        <v>39</v>
      </c>
    </row>
    <row r="1146" spans="1:14" x14ac:dyDescent="0.35">
      <c r="A1146">
        <v>101145</v>
      </c>
      <c r="B1146">
        <v>98269</v>
      </c>
      <c r="C1146" t="s">
        <v>144</v>
      </c>
      <c r="D1146" t="s">
        <v>34</v>
      </c>
      <c r="E1146" t="s">
        <v>43</v>
      </c>
      <c r="F1146" t="s">
        <v>23</v>
      </c>
      <c r="G1146" t="s">
        <v>38</v>
      </c>
      <c r="H1146">
        <v>20168</v>
      </c>
      <c r="I1146">
        <v>12893.63</v>
      </c>
      <c r="J1146">
        <v>12893.63</v>
      </c>
      <c r="K1146">
        <v>7274.37</v>
      </c>
      <c r="L1146">
        <v>7274.37</v>
      </c>
      <c r="M1146" t="s">
        <v>19</v>
      </c>
      <c r="N1146">
        <v>126</v>
      </c>
    </row>
    <row r="1147" spans="1:14" x14ac:dyDescent="0.35">
      <c r="A1147">
        <v>101146</v>
      </c>
      <c r="B1147">
        <v>59590</v>
      </c>
      <c r="C1147" t="s">
        <v>262</v>
      </c>
      <c r="D1147" t="s">
        <v>15</v>
      </c>
      <c r="E1147" t="s">
        <v>22</v>
      </c>
      <c r="F1147" t="s">
        <v>17</v>
      </c>
      <c r="G1147" t="s">
        <v>38</v>
      </c>
      <c r="H1147">
        <v>15206</v>
      </c>
      <c r="I1147">
        <v>12269.39</v>
      </c>
      <c r="J1147">
        <v>12269.39</v>
      </c>
      <c r="K1147">
        <v>2936.61</v>
      </c>
      <c r="L1147">
        <v>2936.61</v>
      </c>
      <c r="M1147" t="s">
        <v>19</v>
      </c>
      <c r="N1147">
        <v>105</v>
      </c>
    </row>
    <row r="1148" spans="1:14" x14ac:dyDescent="0.35">
      <c r="A1148">
        <v>101147</v>
      </c>
      <c r="B1148">
        <v>40887</v>
      </c>
      <c r="C1148" t="s">
        <v>613</v>
      </c>
      <c r="D1148" t="s">
        <v>30</v>
      </c>
      <c r="E1148" t="s">
        <v>31</v>
      </c>
      <c r="F1148" t="s">
        <v>44</v>
      </c>
      <c r="G1148" t="s">
        <v>38</v>
      </c>
      <c r="H1148">
        <v>15468</v>
      </c>
      <c r="I1148">
        <v>9801.52</v>
      </c>
      <c r="J1148">
        <v>0</v>
      </c>
      <c r="K1148">
        <v>5666.48</v>
      </c>
      <c r="L1148">
        <v>15468</v>
      </c>
      <c r="M1148" t="s">
        <v>62</v>
      </c>
      <c r="N1148">
        <v>46</v>
      </c>
    </row>
    <row r="1149" spans="1:14" x14ac:dyDescent="0.35">
      <c r="A1149">
        <v>101148</v>
      </c>
      <c r="B1149">
        <v>33466</v>
      </c>
      <c r="C1149" t="s">
        <v>182</v>
      </c>
      <c r="D1149" t="s">
        <v>15</v>
      </c>
      <c r="E1149" t="s">
        <v>16</v>
      </c>
      <c r="F1149" t="s">
        <v>54</v>
      </c>
      <c r="G1149" t="s">
        <v>28</v>
      </c>
      <c r="H1149">
        <v>4868</v>
      </c>
      <c r="I1149">
        <v>4259.6899999999996</v>
      </c>
      <c r="J1149">
        <v>2442.9899999999998</v>
      </c>
      <c r="K1149">
        <v>608.30999999999995</v>
      </c>
      <c r="L1149">
        <v>2425.0100000000002</v>
      </c>
      <c r="M1149" t="s">
        <v>39</v>
      </c>
      <c r="N1149">
        <v>44</v>
      </c>
    </row>
    <row r="1150" spans="1:14" x14ac:dyDescent="0.35">
      <c r="A1150">
        <v>101149</v>
      </c>
      <c r="B1150">
        <v>72702</v>
      </c>
      <c r="C1150" t="s">
        <v>192</v>
      </c>
      <c r="D1150" t="s">
        <v>15</v>
      </c>
      <c r="E1150" t="s">
        <v>37</v>
      </c>
      <c r="F1150" t="s">
        <v>61</v>
      </c>
      <c r="G1150" t="s">
        <v>18</v>
      </c>
      <c r="H1150">
        <v>4007</v>
      </c>
      <c r="I1150">
        <v>3036.3</v>
      </c>
      <c r="J1150">
        <v>0</v>
      </c>
      <c r="K1150">
        <v>970.7</v>
      </c>
      <c r="L1150">
        <v>4007</v>
      </c>
      <c r="M1150" t="s">
        <v>62</v>
      </c>
      <c r="N1150">
        <v>8</v>
      </c>
    </row>
    <row r="1151" spans="1:14" x14ac:dyDescent="0.35">
      <c r="A1151">
        <v>101150</v>
      </c>
      <c r="B1151">
        <v>94959</v>
      </c>
      <c r="C1151" t="s">
        <v>485</v>
      </c>
      <c r="D1151" t="s">
        <v>52</v>
      </c>
      <c r="E1151" t="s">
        <v>26</v>
      </c>
      <c r="F1151" t="s">
        <v>32</v>
      </c>
      <c r="G1151" t="s">
        <v>28</v>
      </c>
      <c r="H1151">
        <v>5344</v>
      </c>
      <c r="I1151">
        <v>4403.32</v>
      </c>
      <c r="J1151">
        <v>4403.32</v>
      </c>
      <c r="K1151">
        <v>940.68</v>
      </c>
      <c r="L1151">
        <v>940.68</v>
      </c>
      <c r="M1151" t="s">
        <v>19</v>
      </c>
      <c r="N1151">
        <v>73</v>
      </c>
    </row>
    <row r="1152" spans="1:14" x14ac:dyDescent="0.35">
      <c r="A1152">
        <v>101151</v>
      </c>
      <c r="B1152">
        <v>26427</v>
      </c>
      <c r="C1152" t="s">
        <v>614</v>
      </c>
      <c r="D1152" t="s">
        <v>34</v>
      </c>
      <c r="E1152" t="s">
        <v>56</v>
      </c>
      <c r="F1152" t="s">
        <v>17</v>
      </c>
      <c r="G1152" t="s">
        <v>28</v>
      </c>
      <c r="H1152">
        <v>1177</v>
      </c>
      <c r="I1152">
        <v>711.82</v>
      </c>
      <c r="J1152">
        <v>408.77</v>
      </c>
      <c r="K1152">
        <v>465.18</v>
      </c>
      <c r="L1152">
        <v>768.23</v>
      </c>
      <c r="M1152" t="s">
        <v>39</v>
      </c>
      <c r="N1152">
        <v>104</v>
      </c>
    </row>
    <row r="1153" spans="1:14" x14ac:dyDescent="0.35">
      <c r="A1153">
        <v>101152</v>
      </c>
      <c r="B1153">
        <v>68253</v>
      </c>
      <c r="C1153" t="s">
        <v>297</v>
      </c>
      <c r="D1153" t="s">
        <v>30</v>
      </c>
      <c r="E1153" t="s">
        <v>22</v>
      </c>
      <c r="F1153" t="s">
        <v>32</v>
      </c>
      <c r="G1153" t="s">
        <v>28</v>
      </c>
      <c r="H1153">
        <v>13303</v>
      </c>
      <c r="I1153">
        <v>9278.49</v>
      </c>
      <c r="J1153">
        <v>9278.49</v>
      </c>
      <c r="K1153">
        <v>4024.51</v>
      </c>
      <c r="L1153">
        <v>4024.51</v>
      </c>
      <c r="M1153" t="s">
        <v>19</v>
      </c>
      <c r="N1153">
        <v>174</v>
      </c>
    </row>
    <row r="1154" spans="1:14" x14ac:dyDescent="0.35">
      <c r="A1154">
        <v>101153</v>
      </c>
      <c r="B1154">
        <v>29327</v>
      </c>
      <c r="C1154" t="s">
        <v>615</v>
      </c>
      <c r="D1154" t="s">
        <v>30</v>
      </c>
      <c r="E1154" t="s">
        <v>31</v>
      </c>
      <c r="F1154" t="s">
        <v>27</v>
      </c>
      <c r="G1154" t="s">
        <v>18</v>
      </c>
      <c r="H1154">
        <v>4950</v>
      </c>
      <c r="I1154">
        <v>2812.66</v>
      </c>
      <c r="J1154">
        <v>2812.66</v>
      </c>
      <c r="K1154">
        <v>2137.34</v>
      </c>
      <c r="L1154">
        <v>2137.34</v>
      </c>
      <c r="M1154" t="s">
        <v>19</v>
      </c>
      <c r="N1154">
        <v>98</v>
      </c>
    </row>
    <row r="1155" spans="1:14" x14ac:dyDescent="0.35">
      <c r="A1155">
        <v>101154</v>
      </c>
      <c r="B1155">
        <v>35968</v>
      </c>
      <c r="C1155" t="s">
        <v>271</v>
      </c>
      <c r="D1155" t="s">
        <v>30</v>
      </c>
      <c r="E1155" t="s">
        <v>16</v>
      </c>
      <c r="F1155" t="s">
        <v>44</v>
      </c>
      <c r="G1155" t="s">
        <v>18</v>
      </c>
      <c r="H1155">
        <v>1412</v>
      </c>
      <c r="I1155">
        <v>1132.3</v>
      </c>
      <c r="J1155">
        <v>1132.3</v>
      </c>
      <c r="K1155">
        <v>279.7</v>
      </c>
      <c r="L1155">
        <v>279.7</v>
      </c>
      <c r="M1155" t="s">
        <v>19</v>
      </c>
      <c r="N1155">
        <v>92</v>
      </c>
    </row>
    <row r="1156" spans="1:14" x14ac:dyDescent="0.35">
      <c r="A1156">
        <v>101155</v>
      </c>
      <c r="B1156">
        <v>16550</v>
      </c>
      <c r="C1156" t="s">
        <v>517</v>
      </c>
      <c r="D1156" t="s">
        <v>30</v>
      </c>
      <c r="E1156" t="s">
        <v>37</v>
      </c>
      <c r="F1156" t="s">
        <v>17</v>
      </c>
      <c r="G1156" t="s">
        <v>72</v>
      </c>
      <c r="H1156">
        <v>24755</v>
      </c>
      <c r="I1156">
        <v>17795.990000000002</v>
      </c>
      <c r="J1156">
        <v>17795.990000000002</v>
      </c>
      <c r="K1156">
        <v>6959.01</v>
      </c>
      <c r="L1156">
        <v>6959.01</v>
      </c>
      <c r="M1156" t="s">
        <v>19</v>
      </c>
      <c r="N1156">
        <v>101</v>
      </c>
    </row>
    <row r="1157" spans="1:14" x14ac:dyDescent="0.35">
      <c r="A1157">
        <v>101156</v>
      </c>
      <c r="B1157">
        <v>56927</v>
      </c>
      <c r="C1157" t="s">
        <v>97</v>
      </c>
      <c r="D1157" t="s">
        <v>65</v>
      </c>
      <c r="E1157" t="s">
        <v>22</v>
      </c>
      <c r="F1157" t="s">
        <v>35</v>
      </c>
      <c r="G1157" t="s">
        <v>28</v>
      </c>
      <c r="H1157">
        <v>5262</v>
      </c>
      <c r="I1157">
        <v>3846.29</v>
      </c>
      <c r="J1157">
        <v>3846.29</v>
      </c>
      <c r="K1157">
        <v>1415.71</v>
      </c>
      <c r="L1157">
        <v>1415.71</v>
      </c>
      <c r="M1157" t="s">
        <v>19</v>
      </c>
      <c r="N1157">
        <v>70</v>
      </c>
    </row>
    <row r="1158" spans="1:14" x14ac:dyDescent="0.35">
      <c r="A1158">
        <v>101157</v>
      </c>
      <c r="B1158">
        <v>26417</v>
      </c>
      <c r="C1158" t="s">
        <v>500</v>
      </c>
      <c r="D1158" t="s">
        <v>15</v>
      </c>
      <c r="E1158" t="s">
        <v>22</v>
      </c>
      <c r="F1158" t="s">
        <v>17</v>
      </c>
      <c r="G1158" t="s">
        <v>18</v>
      </c>
      <c r="H1158">
        <v>13900</v>
      </c>
      <c r="I1158">
        <v>8212.41</v>
      </c>
      <c r="J1158">
        <v>4858.8599999999997</v>
      </c>
      <c r="K1158">
        <v>5687.59</v>
      </c>
      <c r="L1158">
        <v>9041.14</v>
      </c>
      <c r="M1158" t="s">
        <v>39</v>
      </c>
      <c r="N1158">
        <v>19</v>
      </c>
    </row>
    <row r="1159" spans="1:14" x14ac:dyDescent="0.35">
      <c r="A1159">
        <v>101158</v>
      </c>
      <c r="B1159">
        <v>47784</v>
      </c>
      <c r="C1159" t="s">
        <v>111</v>
      </c>
      <c r="D1159" t="s">
        <v>15</v>
      </c>
      <c r="E1159" t="s">
        <v>56</v>
      </c>
      <c r="F1159" t="s">
        <v>17</v>
      </c>
      <c r="G1159" t="s">
        <v>38</v>
      </c>
      <c r="H1159">
        <v>13329</v>
      </c>
      <c r="I1159">
        <v>8714.7900000000009</v>
      </c>
      <c r="J1159">
        <v>8714.7900000000009</v>
      </c>
      <c r="K1159">
        <v>4614.21</v>
      </c>
      <c r="L1159">
        <v>4614.21</v>
      </c>
      <c r="M1159" t="s">
        <v>19</v>
      </c>
      <c r="N1159">
        <v>131</v>
      </c>
    </row>
    <row r="1160" spans="1:14" x14ac:dyDescent="0.35">
      <c r="A1160">
        <v>101159</v>
      </c>
      <c r="B1160">
        <v>62991</v>
      </c>
      <c r="C1160" t="s">
        <v>599</v>
      </c>
      <c r="D1160" t="s">
        <v>65</v>
      </c>
      <c r="E1160" t="s">
        <v>43</v>
      </c>
      <c r="F1160" t="s">
        <v>54</v>
      </c>
      <c r="G1160" t="s">
        <v>24</v>
      </c>
      <c r="H1160">
        <v>15504</v>
      </c>
      <c r="I1160">
        <v>11079.68</v>
      </c>
      <c r="J1160">
        <v>0</v>
      </c>
      <c r="K1160">
        <v>4424.32</v>
      </c>
      <c r="L1160">
        <v>15504</v>
      </c>
      <c r="M1160" t="s">
        <v>62</v>
      </c>
      <c r="N1160">
        <v>73</v>
      </c>
    </row>
    <row r="1161" spans="1:14" x14ac:dyDescent="0.35">
      <c r="A1161">
        <v>101160</v>
      </c>
      <c r="B1161">
        <v>80582</v>
      </c>
      <c r="C1161" t="s">
        <v>59</v>
      </c>
      <c r="D1161" t="s">
        <v>52</v>
      </c>
      <c r="E1161" t="s">
        <v>41</v>
      </c>
      <c r="F1161" t="s">
        <v>23</v>
      </c>
      <c r="G1161" t="s">
        <v>28</v>
      </c>
      <c r="H1161">
        <v>24237</v>
      </c>
      <c r="I1161">
        <v>14136.05</v>
      </c>
      <c r="J1161">
        <v>14136.05</v>
      </c>
      <c r="K1161">
        <v>10100.950000000001</v>
      </c>
      <c r="L1161">
        <v>10100.950000000001</v>
      </c>
      <c r="M1161" t="s">
        <v>19</v>
      </c>
      <c r="N1161">
        <v>11</v>
      </c>
    </row>
    <row r="1162" spans="1:14" x14ac:dyDescent="0.35">
      <c r="A1162">
        <v>101161</v>
      </c>
      <c r="B1162">
        <v>39254</v>
      </c>
      <c r="C1162" t="s">
        <v>216</v>
      </c>
      <c r="D1162" t="s">
        <v>30</v>
      </c>
      <c r="E1162" t="s">
        <v>16</v>
      </c>
      <c r="F1162" t="s">
        <v>54</v>
      </c>
      <c r="G1162" t="s">
        <v>72</v>
      </c>
      <c r="H1162">
        <v>22136</v>
      </c>
      <c r="I1162">
        <v>20929.599999999999</v>
      </c>
      <c r="J1162">
        <v>0</v>
      </c>
      <c r="K1162">
        <v>1206.4000000000001</v>
      </c>
      <c r="L1162">
        <v>22136</v>
      </c>
      <c r="M1162" t="s">
        <v>62</v>
      </c>
      <c r="N1162">
        <v>165</v>
      </c>
    </row>
    <row r="1163" spans="1:14" x14ac:dyDescent="0.35">
      <c r="A1163">
        <v>101162</v>
      </c>
      <c r="B1163">
        <v>84716</v>
      </c>
      <c r="C1163" t="s">
        <v>69</v>
      </c>
      <c r="D1163" t="s">
        <v>49</v>
      </c>
      <c r="E1163" t="s">
        <v>16</v>
      </c>
      <c r="F1163" t="s">
        <v>44</v>
      </c>
      <c r="G1163" t="s">
        <v>47</v>
      </c>
      <c r="H1163">
        <v>3218</v>
      </c>
      <c r="I1163">
        <v>2511.94</v>
      </c>
      <c r="J1163">
        <v>2511.94</v>
      </c>
      <c r="K1163">
        <v>706.06</v>
      </c>
      <c r="L1163">
        <v>706.06</v>
      </c>
      <c r="M1163" t="s">
        <v>19</v>
      </c>
      <c r="N1163">
        <v>176</v>
      </c>
    </row>
    <row r="1164" spans="1:14" x14ac:dyDescent="0.35">
      <c r="A1164">
        <v>101163</v>
      </c>
      <c r="B1164">
        <v>25969</v>
      </c>
      <c r="C1164" t="s">
        <v>534</v>
      </c>
      <c r="D1164" t="s">
        <v>21</v>
      </c>
      <c r="E1164" t="s">
        <v>16</v>
      </c>
      <c r="F1164" t="s">
        <v>54</v>
      </c>
      <c r="G1164" t="s">
        <v>24</v>
      </c>
      <c r="H1164">
        <v>19244</v>
      </c>
      <c r="I1164">
        <v>11971.56</v>
      </c>
      <c r="J1164">
        <v>11971.56</v>
      </c>
      <c r="K1164">
        <v>7272.44</v>
      </c>
      <c r="L1164">
        <v>7272.44</v>
      </c>
      <c r="M1164" t="s">
        <v>19</v>
      </c>
      <c r="N1164">
        <v>19</v>
      </c>
    </row>
    <row r="1165" spans="1:14" x14ac:dyDescent="0.35">
      <c r="A1165">
        <v>101164</v>
      </c>
      <c r="B1165">
        <v>74925</v>
      </c>
      <c r="C1165" t="s">
        <v>357</v>
      </c>
      <c r="D1165" t="s">
        <v>21</v>
      </c>
      <c r="E1165" t="s">
        <v>41</v>
      </c>
      <c r="F1165" t="s">
        <v>44</v>
      </c>
      <c r="G1165" t="s">
        <v>72</v>
      </c>
      <c r="H1165">
        <v>12079</v>
      </c>
      <c r="I1165">
        <v>10765.47</v>
      </c>
      <c r="J1165">
        <v>10765.47</v>
      </c>
      <c r="K1165">
        <v>1313.53</v>
      </c>
      <c r="L1165">
        <v>1313.53</v>
      </c>
      <c r="M1165" t="s">
        <v>19</v>
      </c>
      <c r="N1165">
        <v>95</v>
      </c>
    </row>
    <row r="1166" spans="1:14" x14ac:dyDescent="0.35">
      <c r="A1166">
        <v>101165</v>
      </c>
      <c r="B1166">
        <v>38680</v>
      </c>
      <c r="C1166" t="s">
        <v>439</v>
      </c>
      <c r="D1166" t="s">
        <v>30</v>
      </c>
      <c r="E1166" t="s">
        <v>43</v>
      </c>
      <c r="F1166" t="s">
        <v>27</v>
      </c>
      <c r="G1166" t="s">
        <v>72</v>
      </c>
      <c r="H1166">
        <v>3952</v>
      </c>
      <c r="I1166">
        <v>2641.49</v>
      </c>
      <c r="J1166">
        <v>2641.49</v>
      </c>
      <c r="K1166">
        <v>1310.51</v>
      </c>
      <c r="L1166">
        <v>1310.51</v>
      </c>
      <c r="M1166" t="s">
        <v>19</v>
      </c>
      <c r="N1166">
        <v>63</v>
      </c>
    </row>
    <row r="1167" spans="1:14" x14ac:dyDescent="0.35">
      <c r="A1167">
        <v>101166</v>
      </c>
      <c r="B1167">
        <v>98200</v>
      </c>
      <c r="C1167" t="s">
        <v>507</v>
      </c>
      <c r="D1167" t="s">
        <v>49</v>
      </c>
      <c r="E1167" t="s">
        <v>31</v>
      </c>
      <c r="F1167" t="s">
        <v>61</v>
      </c>
      <c r="G1167" t="s">
        <v>45</v>
      </c>
      <c r="H1167">
        <v>3338</v>
      </c>
      <c r="I1167">
        <v>2011.92</v>
      </c>
      <c r="J1167">
        <v>2011.92</v>
      </c>
      <c r="K1167">
        <v>1326.08</v>
      </c>
      <c r="L1167">
        <v>1326.08</v>
      </c>
      <c r="M1167" t="s">
        <v>19</v>
      </c>
      <c r="N1167">
        <v>176</v>
      </c>
    </row>
    <row r="1168" spans="1:14" x14ac:dyDescent="0.35">
      <c r="A1168">
        <v>101167</v>
      </c>
      <c r="B1168">
        <v>82190</v>
      </c>
      <c r="C1168" t="s">
        <v>499</v>
      </c>
      <c r="D1168" t="s">
        <v>65</v>
      </c>
      <c r="E1168" t="s">
        <v>31</v>
      </c>
      <c r="F1168" t="s">
        <v>27</v>
      </c>
      <c r="G1168" t="s">
        <v>47</v>
      </c>
      <c r="H1168">
        <v>14940</v>
      </c>
      <c r="I1168">
        <v>9794.8700000000008</v>
      </c>
      <c r="J1168">
        <v>9794.8700000000008</v>
      </c>
      <c r="K1168">
        <v>5145.13</v>
      </c>
      <c r="L1168">
        <v>5145.13</v>
      </c>
      <c r="M1168" t="s">
        <v>19</v>
      </c>
      <c r="N1168">
        <v>118</v>
      </c>
    </row>
    <row r="1169" spans="1:14" x14ac:dyDescent="0.35">
      <c r="A1169">
        <v>101168</v>
      </c>
      <c r="B1169">
        <v>55384</v>
      </c>
      <c r="C1169" t="s">
        <v>589</v>
      </c>
      <c r="D1169" t="s">
        <v>34</v>
      </c>
      <c r="E1169" t="s">
        <v>16</v>
      </c>
      <c r="F1169" t="s">
        <v>17</v>
      </c>
      <c r="G1169" t="s">
        <v>45</v>
      </c>
      <c r="H1169">
        <v>9922</v>
      </c>
      <c r="I1169">
        <v>7823.92</v>
      </c>
      <c r="J1169">
        <v>7823.92</v>
      </c>
      <c r="K1169">
        <v>2098.08</v>
      </c>
      <c r="L1169">
        <v>2098.08</v>
      </c>
      <c r="M1169" t="s">
        <v>19</v>
      </c>
      <c r="N1169">
        <v>124</v>
      </c>
    </row>
    <row r="1170" spans="1:14" x14ac:dyDescent="0.35">
      <c r="A1170">
        <v>101169</v>
      </c>
      <c r="B1170">
        <v>50116</v>
      </c>
      <c r="C1170" t="s">
        <v>616</v>
      </c>
      <c r="D1170" t="s">
        <v>30</v>
      </c>
      <c r="E1170" t="s">
        <v>41</v>
      </c>
      <c r="F1170" t="s">
        <v>61</v>
      </c>
      <c r="G1170" t="s">
        <v>47</v>
      </c>
      <c r="H1170">
        <v>11397</v>
      </c>
      <c r="I1170">
        <v>10538.72</v>
      </c>
      <c r="J1170">
        <v>266.12</v>
      </c>
      <c r="K1170">
        <v>858.28</v>
      </c>
      <c r="L1170">
        <v>11130.88</v>
      </c>
      <c r="M1170" t="s">
        <v>50</v>
      </c>
      <c r="N1170">
        <v>108</v>
      </c>
    </row>
    <row r="1171" spans="1:14" x14ac:dyDescent="0.35">
      <c r="A1171">
        <v>101170</v>
      </c>
      <c r="B1171">
        <v>90411</v>
      </c>
      <c r="C1171" t="s">
        <v>143</v>
      </c>
      <c r="D1171" t="s">
        <v>30</v>
      </c>
      <c r="E1171" t="s">
        <v>31</v>
      </c>
      <c r="F1171" t="s">
        <v>54</v>
      </c>
      <c r="G1171" t="s">
        <v>38</v>
      </c>
      <c r="H1171">
        <v>4628</v>
      </c>
      <c r="I1171">
        <v>2838.02</v>
      </c>
      <c r="J1171">
        <v>2838.02</v>
      </c>
      <c r="K1171">
        <v>1789.98</v>
      </c>
      <c r="L1171">
        <v>1789.98</v>
      </c>
      <c r="M1171" t="s">
        <v>19</v>
      </c>
      <c r="N1171">
        <v>94</v>
      </c>
    </row>
    <row r="1172" spans="1:14" x14ac:dyDescent="0.35">
      <c r="A1172">
        <v>101171</v>
      </c>
      <c r="B1172">
        <v>79373</v>
      </c>
      <c r="C1172" t="s">
        <v>40</v>
      </c>
      <c r="D1172" t="s">
        <v>52</v>
      </c>
      <c r="E1172" t="s">
        <v>16</v>
      </c>
      <c r="F1172" t="s">
        <v>61</v>
      </c>
      <c r="G1172" t="s">
        <v>45</v>
      </c>
      <c r="H1172">
        <v>18881</v>
      </c>
      <c r="I1172">
        <v>17806.46</v>
      </c>
      <c r="J1172">
        <v>17806.46</v>
      </c>
      <c r="K1172">
        <v>1074.54</v>
      </c>
      <c r="L1172">
        <v>1074.54</v>
      </c>
      <c r="M1172" t="s">
        <v>19</v>
      </c>
      <c r="N1172">
        <v>7</v>
      </c>
    </row>
    <row r="1173" spans="1:14" x14ac:dyDescent="0.35">
      <c r="A1173">
        <v>101172</v>
      </c>
      <c r="B1173">
        <v>90607</v>
      </c>
      <c r="C1173" t="s">
        <v>490</v>
      </c>
      <c r="D1173" t="s">
        <v>65</v>
      </c>
      <c r="E1173" t="s">
        <v>56</v>
      </c>
      <c r="F1173" t="s">
        <v>23</v>
      </c>
      <c r="G1173" t="s">
        <v>47</v>
      </c>
      <c r="H1173">
        <v>6658</v>
      </c>
      <c r="I1173">
        <v>5863.01</v>
      </c>
      <c r="J1173">
        <v>5863.01</v>
      </c>
      <c r="K1173">
        <v>794.99</v>
      </c>
      <c r="L1173">
        <v>794.99</v>
      </c>
      <c r="M1173" t="s">
        <v>19</v>
      </c>
      <c r="N1173">
        <v>43</v>
      </c>
    </row>
    <row r="1174" spans="1:14" x14ac:dyDescent="0.35">
      <c r="A1174">
        <v>101173</v>
      </c>
      <c r="B1174">
        <v>80742</v>
      </c>
      <c r="C1174" t="s">
        <v>126</v>
      </c>
      <c r="D1174" t="s">
        <v>49</v>
      </c>
      <c r="E1174" t="s">
        <v>26</v>
      </c>
      <c r="F1174" t="s">
        <v>35</v>
      </c>
      <c r="G1174" t="s">
        <v>72</v>
      </c>
      <c r="H1174">
        <v>3772</v>
      </c>
      <c r="I1174">
        <v>2416.56</v>
      </c>
      <c r="J1174">
        <v>2097.7800000000002</v>
      </c>
      <c r="K1174">
        <v>1355.44</v>
      </c>
      <c r="L1174">
        <v>1674.22</v>
      </c>
      <c r="M1174" t="s">
        <v>39</v>
      </c>
      <c r="N1174">
        <v>60</v>
      </c>
    </row>
    <row r="1175" spans="1:14" x14ac:dyDescent="0.35">
      <c r="A1175">
        <v>101174</v>
      </c>
      <c r="B1175">
        <v>62628</v>
      </c>
      <c r="C1175" t="s">
        <v>484</v>
      </c>
      <c r="D1175" t="s">
        <v>49</v>
      </c>
      <c r="E1175" t="s">
        <v>56</v>
      </c>
      <c r="F1175" t="s">
        <v>17</v>
      </c>
      <c r="G1175" t="s">
        <v>18</v>
      </c>
      <c r="H1175">
        <v>18122</v>
      </c>
      <c r="I1175">
        <v>10891.49</v>
      </c>
      <c r="J1175">
        <v>2739.43</v>
      </c>
      <c r="K1175">
        <v>7230.51</v>
      </c>
      <c r="L1175">
        <v>15382.57</v>
      </c>
      <c r="M1175" t="s">
        <v>50</v>
      </c>
      <c r="N1175">
        <v>28</v>
      </c>
    </row>
    <row r="1176" spans="1:14" x14ac:dyDescent="0.35">
      <c r="A1176">
        <v>101175</v>
      </c>
      <c r="B1176">
        <v>60899</v>
      </c>
      <c r="C1176" t="s">
        <v>476</v>
      </c>
      <c r="D1176" t="s">
        <v>15</v>
      </c>
      <c r="E1176" t="s">
        <v>41</v>
      </c>
      <c r="F1176" t="s">
        <v>32</v>
      </c>
      <c r="G1176" t="s">
        <v>47</v>
      </c>
      <c r="H1176">
        <v>14686</v>
      </c>
      <c r="I1176">
        <v>12450.93</v>
      </c>
      <c r="J1176">
        <v>12450.93</v>
      </c>
      <c r="K1176">
        <v>2235.0700000000002</v>
      </c>
      <c r="L1176">
        <v>2235.0700000000002</v>
      </c>
      <c r="M1176" t="s">
        <v>19</v>
      </c>
      <c r="N1176">
        <v>0</v>
      </c>
    </row>
    <row r="1177" spans="1:14" x14ac:dyDescent="0.35">
      <c r="A1177">
        <v>101176</v>
      </c>
      <c r="B1177">
        <v>37543</v>
      </c>
      <c r="C1177" t="s">
        <v>506</v>
      </c>
      <c r="D1177" t="s">
        <v>52</v>
      </c>
      <c r="E1177" t="s">
        <v>56</v>
      </c>
      <c r="F1177" t="s">
        <v>35</v>
      </c>
      <c r="G1177" t="s">
        <v>47</v>
      </c>
      <c r="H1177">
        <v>10183</v>
      </c>
      <c r="I1177">
        <v>6272.47</v>
      </c>
      <c r="J1177">
        <v>2622.13</v>
      </c>
      <c r="K1177">
        <v>3910.53</v>
      </c>
      <c r="L1177">
        <v>7560.87</v>
      </c>
      <c r="M1177" t="s">
        <v>39</v>
      </c>
      <c r="N1177">
        <v>70</v>
      </c>
    </row>
    <row r="1178" spans="1:14" x14ac:dyDescent="0.35">
      <c r="A1178">
        <v>101177</v>
      </c>
      <c r="B1178">
        <v>73611</v>
      </c>
      <c r="C1178" t="s">
        <v>155</v>
      </c>
      <c r="D1178" t="s">
        <v>49</v>
      </c>
      <c r="E1178" t="s">
        <v>31</v>
      </c>
      <c r="F1178" t="s">
        <v>35</v>
      </c>
      <c r="G1178" t="s">
        <v>28</v>
      </c>
      <c r="H1178">
        <v>19264</v>
      </c>
      <c r="I1178">
        <v>14868.39</v>
      </c>
      <c r="J1178">
        <v>14868.39</v>
      </c>
      <c r="K1178">
        <v>4395.6099999999997</v>
      </c>
      <c r="L1178">
        <v>4395.6099999999997</v>
      </c>
      <c r="M1178" t="s">
        <v>19</v>
      </c>
      <c r="N1178">
        <v>120</v>
      </c>
    </row>
    <row r="1179" spans="1:14" x14ac:dyDescent="0.35">
      <c r="A1179">
        <v>101178</v>
      </c>
      <c r="B1179">
        <v>97807</v>
      </c>
      <c r="C1179" t="s">
        <v>171</v>
      </c>
      <c r="D1179" t="s">
        <v>52</v>
      </c>
      <c r="E1179" t="s">
        <v>43</v>
      </c>
      <c r="F1179" t="s">
        <v>35</v>
      </c>
      <c r="G1179" t="s">
        <v>45</v>
      </c>
      <c r="H1179">
        <v>2761</v>
      </c>
      <c r="I1179">
        <v>2057.9299999999998</v>
      </c>
      <c r="J1179">
        <v>2057.9299999999998</v>
      </c>
      <c r="K1179">
        <v>703.07</v>
      </c>
      <c r="L1179">
        <v>703.07</v>
      </c>
      <c r="M1179" t="s">
        <v>19</v>
      </c>
      <c r="N1179">
        <v>176</v>
      </c>
    </row>
    <row r="1180" spans="1:14" x14ac:dyDescent="0.35">
      <c r="A1180">
        <v>101179</v>
      </c>
      <c r="B1180">
        <v>58834</v>
      </c>
      <c r="C1180" t="s">
        <v>134</v>
      </c>
      <c r="D1180" t="s">
        <v>65</v>
      </c>
      <c r="E1180" t="s">
        <v>22</v>
      </c>
      <c r="F1180" t="s">
        <v>23</v>
      </c>
      <c r="G1180" t="s">
        <v>18</v>
      </c>
      <c r="H1180">
        <v>12048</v>
      </c>
      <c r="I1180">
        <v>9204.18</v>
      </c>
      <c r="J1180">
        <v>6051.49</v>
      </c>
      <c r="K1180">
        <v>2843.82</v>
      </c>
      <c r="L1180">
        <v>5996.51</v>
      </c>
      <c r="M1180" t="s">
        <v>39</v>
      </c>
      <c r="N1180">
        <v>88</v>
      </c>
    </row>
    <row r="1181" spans="1:14" x14ac:dyDescent="0.35">
      <c r="A1181">
        <v>101180</v>
      </c>
      <c r="B1181">
        <v>59837</v>
      </c>
      <c r="C1181" t="s">
        <v>571</v>
      </c>
      <c r="D1181" t="s">
        <v>65</v>
      </c>
      <c r="E1181" t="s">
        <v>26</v>
      </c>
      <c r="F1181" t="s">
        <v>23</v>
      </c>
      <c r="G1181" t="s">
        <v>24</v>
      </c>
      <c r="H1181">
        <v>14400</v>
      </c>
      <c r="I1181">
        <v>9843.52</v>
      </c>
      <c r="J1181">
        <v>9843.52</v>
      </c>
      <c r="K1181">
        <v>4556.4799999999996</v>
      </c>
      <c r="L1181">
        <v>4556.4799999999996</v>
      </c>
      <c r="M1181" t="s">
        <v>19</v>
      </c>
      <c r="N1181">
        <v>142</v>
      </c>
    </row>
    <row r="1182" spans="1:14" x14ac:dyDescent="0.35">
      <c r="A1182">
        <v>101181</v>
      </c>
      <c r="B1182">
        <v>54119</v>
      </c>
      <c r="C1182" t="s">
        <v>166</v>
      </c>
      <c r="D1182" t="s">
        <v>34</v>
      </c>
      <c r="E1182" t="s">
        <v>31</v>
      </c>
      <c r="F1182" t="s">
        <v>54</v>
      </c>
      <c r="G1182" t="s">
        <v>28</v>
      </c>
      <c r="H1182">
        <v>12110</v>
      </c>
      <c r="I1182">
        <v>9009.2199999999993</v>
      </c>
      <c r="J1182">
        <v>9009.2199999999993</v>
      </c>
      <c r="K1182">
        <v>3100.78</v>
      </c>
      <c r="L1182">
        <v>3100.78</v>
      </c>
      <c r="M1182" t="s">
        <v>19</v>
      </c>
      <c r="N1182">
        <v>102</v>
      </c>
    </row>
    <row r="1183" spans="1:14" x14ac:dyDescent="0.35">
      <c r="A1183">
        <v>101182</v>
      </c>
      <c r="B1183">
        <v>59497</v>
      </c>
      <c r="C1183" t="s">
        <v>544</v>
      </c>
      <c r="D1183" t="s">
        <v>49</v>
      </c>
      <c r="E1183" t="s">
        <v>43</v>
      </c>
      <c r="F1183" t="s">
        <v>35</v>
      </c>
      <c r="G1183" t="s">
        <v>45</v>
      </c>
      <c r="H1183">
        <v>10022</v>
      </c>
      <c r="I1183">
        <v>7206.22</v>
      </c>
      <c r="J1183">
        <v>0</v>
      </c>
      <c r="K1183">
        <v>2815.78</v>
      </c>
      <c r="L1183">
        <v>10022</v>
      </c>
      <c r="M1183" t="s">
        <v>62</v>
      </c>
      <c r="N1183">
        <v>132</v>
      </c>
    </row>
    <row r="1184" spans="1:14" x14ac:dyDescent="0.35">
      <c r="A1184">
        <v>101183</v>
      </c>
      <c r="B1184">
        <v>51092</v>
      </c>
      <c r="C1184" t="s">
        <v>81</v>
      </c>
      <c r="D1184" t="s">
        <v>34</v>
      </c>
      <c r="E1184" t="s">
        <v>56</v>
      </c>
      <c r="F1184" t="s">
        <v>27</v>
      </c>
      <c r="G1184" t="s">
        <v>24</v>
      </c>
      <c r="H1184">
        <v>1745</v>
      </c>
      <c r="I1184">
        <v>1583.15</v>
      </c>
      <c r="J1184">
        <v>296.14999999999998</v>
      </c>
      <c r="K1184">
        <v>161.85</v>
      </c>
      <c r="L1184">
        <v>1448.85</v>
      </c>
      <c r="M1184" t="s">
        <v>50</v>
      </c>
      <c r="N1184">
        <v>56</v>
      </c>
    </row>
    <row r="1185" spans="1:14" x14ac:dyDescent="0.35">
      <c r="A1185">
        <v>101184</v>
      </c>
      <c r="B1185">
        <v>19744</v>
      </c>
      <c r="C1185" t="s">
        <v>464</v>
      </c>
      <c r="D1185" t="s">
        <v>21</v>
      </c>
      <c r="E1185" t="s">
        <v>26</v>
      </c>
      <c r="F1185" t="s">
        <v>23</v>
      </c>
      <c r="G1185" t="s">
        <v>72</v>
      </c>
      <c r="H1185">
        <v>15909</v>
      </c>
      <c r="I1185">
        <v>13651.99</v>
      </c>
      <c r="J1185">
        <v>3625.77</v>
      </c>
      <c r="K1185">
        <v>2257.0100000000002</v>
      </c>
      <c r="L1185">
        <v>12283.23</v>
      </c>
      <c r="M1185" t="s">
        <v>50</v>
      </c>
      <c r="N1185">
        <v>89</v>
      </c>
    </row>
    <row r="1186" spans="1:14" x14ac:dyDescent="0.35">
      <c r="A1186">
        <v>101185</v>
      </c>
      <c r="B1186">
        <v>14917</v>
      </c>
      <c r="C1186" t="s">
        <v>617</v>
      </c>
      <c r="D1186" t="s">
        <v>49</v>
      </c>
      <c r="E1186" t="s">
        <v>22</v>
      </c>
      <c r="F1186" t="s">
        <v>17</v>
      </c>
      <c r="G1186" t="s">
        <v>28</v>
      </c>
      <c r="H1186">
        <v>21764</v>
      </c>
      <c r="I1186">
        <v>20094.82</v>
      </c>
      <c r="J1186">
        <v>20094.82</v>
      </c>
      <c r="K1186">
        <v>1669.18</v>
      </c>
      <c r="L1186">
        <v>1669.18</v>
      </c>
      <c r="M1186" t="s">
        <v>19</v>
      </c>
      <c r="N1186">
        <v>58</v>
      </c>
    </row>
    <row r="1187" spans="1:14" x14ac:dyDescent="0.35">
      <c r="A1187">
        <v>101186</v>
      </c>
      <c r="B1187">
        <v>81503</v>
      </c>
      <c r="C1187" t="s">
        <v>618</v>
      </c>
      <c r="D1187" t="s">
        <v>34</v>
      </c>
      <c r="E1187" t="s">
        <v>26</v>
      </c>
      <c r="F1187" t="s">
        <v>27</v>
      </c>
      <c r="G1187" t="s">
        <v>28</v>
      </c>
      <c r="H1187">
        <v>10583</v>
      </c>
      <c r="I1187">
        <v>6894.49</v>
      </c>
      <c r="J1187">
        <v>6894.49</v>
      </c>
      <c r="K1187">
        <v>3688.51</v>
      </c>
      <c r="L1187">
        <v>3688.51</v>
      </c>
      <c r="M1187" t="s">
        <v>19</v>
      </c>
      <c r="N1187">
        <v>2</v>
      </c>
    </row>
    <row r="1188" spans="1:14" x14ac:dyDescent="0.35">
      <c r="A1188">
        <v>101187</v>
      </c>
      <c r="B1188">
        <v>76608</v>
      </c>
      <c r="C1188" t="s">
        <v>106</v>
      </c>
      <c r="D1188" t="s">
        <v>30</v>
      </c>
      <c r="E1188" t="s">
        <v>56</v>
      </c>
      <c r="F1188" t="s">
        <v>27</v>
      </c>
      <c r="G1188" t="s">
        <v>38</v>
      </c>
      <c r="H1188">
        <v>21538</v>
      </c>
      <c r="I1188">
        <v>16863.23</v>
      </c>
      <c r="J1188">
        <v>16863.23</v>
      </c>
      <c r="K1188">
        <v>4674.7700000000004</v>
      </c>
      <c r="L1188">
        <v>4674.7700000000004</v>
      </c>
      <c r="M1188" t="s">
        <v>19</v>
      </c>
      <c r="N1188">
        <v>77</v>
      </c>
    </row>
    <row r="1189" spans="1:14" x14ac:dyDescent="0.35">
      <c r="A1189">
        <v>101188</v>
      </c>
      <c r="B1189">
        <v>88848</v>
      </c>
      <c r="C1189" t="s">
        <v>160</v>
      </c>
      <c r="D1189" t="s">
        <v>49</v>
      </c>
      <c r="E1189" t="s">
        <v>56</v>
      </c>
      <c r="F1189" t="s">
        <v>17</v>
      </c>
      <c r="G1189" t="s">
        <v>72</v>
      </c>
      <c r="H1189">
        <v>16235</v>
      </c>
      <c r="I1189">
        <v>13769.67</v>
      </c>
      <c r="J1189">
        <v>125.3</v>
      </c>
      <c r="K1189">
        <v>2465.33</v>
      </c>
      <c r="L1189">
        <v>16109.7</v>
      </c>
      <c r="M1189" t="s">
        <v>50</v>
      </c>
      <c r="N1189">
        <v>60</v>
      </c>
    </row>
    <row r="1190" spans="1:14" x14ac:dyDescent="0.35">
      <c r="A1190">
        <v>101189</v>
      </c>
      <c r="B1190">
        <v>83599</v>
      </c>
      <c r="C1190" t="s">
        <v>619</v>
      </c>
      <c r="D1190" t="s">
        <v>30</v>
      </c>
      <c r="E1190" t="s">
        <v>37</v>
      </c>
      <c r="F1190" t="s">
        <v>32</v>
      </c>
      <c r="G1190" t="s">
        <v>72</v>
      </c>
      <c r="H1190">
        <v>20158</v>
      </c>
      <c r="I1190">
        <v>11817.02</v>
      </c>
      <c r="J1190">
        <v>11817.02</v>
      </c>
      <c r="K1190">
        <v>8340.98</v>
      </c>
      <c r="L1190">
        <v>8340.98</v>
      </c>
      <c r="M1190" t="s">
        <v>19</v>
      </c>
      <c r="N1190">
        <v>176</v>
      </c>
    </row>
    <row r="1191" spans="1:14" x14ac:dyDescent="0.35">
      <c r="A1191">
        <v>101190</v>
      </c>
      <c r="B1191">
        <v>53151</v>
      </c>
      <c r="C1191" t="s">
        <v>112</v>
      </c>
      <c r="D1191" t="s">
        <v>15</v>
      </c>
      <c r="E1191" t="s">
        <v>37</v>
      </c>
      <c r="F1191" t="s">
        <v>54</v>
      </c>
      <c r="G1191" t="s">
        <v>18</v>
      </c>
      <c r="H1191">
        <v>3880</v>
      </c>
      <c r="I1191">
        <v>2632.39</v>
      </c>
      <c r="J1191">
        <v>373.81</v>
      </c>
      <c r="K1191">
        <v>1247.6099999999999</v>
      </c>
      <c r="L1191">
        <v>3506.19</v>
      </c>
      <c r="M1191" t="s">
        <v>50</v>
      </c>
      <c r="N1191">
        <v>130</v>
      </c>
    </row>
    <row r="1192" spans="1:14" x14ac:dyDescent="0.35">
      <c r="A1192">
        <v>101191</v>
      </c>
      <c r="B1192">
        <v>20389</v>
      </c>
      <c r="C1192" t="s">
        <v>201</v>
      </c>
      <c r="D1192" t="s">
        <v>30</v>
      </c>
      <c r="E1192" t="s">
        <v>37</v>
      </c>
      <c r="F1192" t="s">
        <v>61</v>
      </c>
      <c r="G1192" t="s">
        <v>45</v>
      </c>
      <c r="H1192">
        <v>22287</v>
      </c>
      <c r="I1192">
        <v>17879.78</v>
      </c>
      <c r="J1192">
        <v>17879.78</v>
      </c>
      <c r="K1192">
        <v>4407.22</v>
      </c>
      <c r="L1192">
        <v>4407.22</v>
      </c>
      <c r="M1192" t="s">
        <v>19</v>
      </c>
      <c r="N1192">
        <v>129</v>
      </c>
    </row>
    <row r="1193" spans="1:14" x14ac:dyDescent="0.35">
      <c r="A1193">
        <v>101192</v>
      </c>
      <c r="B1193">
        <v>41072</v>
      </c>
      <c r="C1193" t="s">
        <v>390</v>
      </c>
      <c r="D1193" t="s">
        <v>34</v>
      </c>
      <c r="E1193" t="s">
        <v>37</v>
      </c>
      <c r="F1193" t="s">
        <v>35</v>
      </c>
      <c r="G1193" t="s">
        <v>28</v>
      </c>
      <c r="H1193">
        <v>7899</v>
      </c>
      <c r="I1193">
        <v>5631.39</v>
      </c>
      <c r="J1193">
        <v>0</v>
      </c>
      <c r="K1193">
        <v>2267.61</v>
      </c>
      <c r="L1193">
        <v>7899</v>
      </c>
      <c r="M1193" t="s">
        <v>62</v>
      </c>
      <c r="N1193">
        <v>161</v>
      </c>
    </row>
    <row r="1194" spans="1:14" x14ac:dyDescent="0.35">
      <c r="A1194">
        <v>101193</v>
      </c>
      <c r="B1194">
        <v>43885</v>
      </c>
      <c r="C1194" t="s">
        <v>620</v>
      </c>
      <c r="D1194" t="s">
        <v>34</v>
      </c>
      <c r="E1194" t="s">
        <v>31</v>
      </c>
      <c r="F1194" t="s">
        <v>61</v>
      </c>
      <c r="G1194" t="s">
        <v>45</v>
      </c>
      <c r="H1194">
        <v>20695</v>
      </c>
      <c r="I1194">
        <v>18076.22</v>
      </c>
      <c r="J1194">
        <v>18076.22</v>
      </c>
      <c r="K1194">
        <v>2618.7800000000002</v>
      </c>
      <c r="L1194">
        <v>2618.7800000000002</v>
      </c>
      <c r="M1194" t="s">
        <v>19</v>
      </c>
      <c r="N1194">
        <v>167</v>
      </c>
    </row>
    <row r="1195" spans="1:14" x14ac:dyDescent="0.35">
      <c r="A1195">
        <v>101194</v>
      </c>
      <c r="B1195">
        <v>53972</v>
      </c>
      <c r="C1195" t="s">
        <v>319</v>
      </c>
      <c r="D1195" t="s">
        <v>49</v>
      </c>
      <c r="E1195" t="s">
        <v>22</v>
      </c>
      <c r="F1195" t="s">
        <v>23</v>
      </c>
      <c r="G1195" t="s">
        <v>72</v>
      </c>
      <c r="H1195">
        <v>13847</v>
      </c>
      <c r="I1195">
        <v>11783.95</v>
      </c>
      <c r="J1195">
        <v>11783.95</v>
      </c>
      <c r="K1195">
        <v>2063.0500000000002</v>
      </c>
      <c r="L1195">
        <v>2063.0500000000002</v>
      </c>
      <c r="M1195" t="s">
        <v>19</v>
      </c>
      <c r="N1195">
        <v>107</v>
      </c>
    </row>
    <row r="1196" spans="1:14" x14ac:dyDescent="0.35">
      <c r="A1196">
        <v>101195</v>
      </c>
      <c r="B1196">
        <v>67206</v>
      </c>
      <c r="C1196" t="s">
        <v>621</v>
      </c>
      <c r="D1196" t="s">
        <v>49</v>
      </c>
      <c r="E1196" t="s">
        <v>26</v>
      </c>
      <c r="F1196" t="s">
        <v>61</v>
      </c>
      <c r="G1196" t="s">
        <v>28</v>
      </c>
      <c r="H1196">
        <v>4236</v>
      </c>
      <c r="I1196">
        <v>3371.74</v>
      </c>
      <c r="J1196">
        <v>3371.74</v>
      </c>
      <c r="K1196">
        <v>864.26</v>
      </c>
      <c r="L1196">
        <v>864.26</v>
      </c>
      <c r="M1196" t="s">
        <v>19</v>
      </c>
      <c r="N1196">
        <v>158</v>
      </c>
    </row>
    <row r="1197" spans="1:14" x14ac:dyDescent="0.35">
      <c r="A1197">
        <v>101196</v>
      </c>
      <c r="B1197">
        <v>24004</v>
      </c>
      <c r="C1197" t="s">
        <v>252</v>
      </c>
      <c r="D1197" t="s">
        <v>65</v>
      </c>
      <c r="E1197" t="s">
        <v>41</v>
      </c>
      <c r="F1197" t="s">
        <v>23</v>
      </c>
      <c r="G1197" t="s">
        <v>38</v>
      </c>
      <c r="H1197">
        <v>17728</v>
      </c>
      <c r="I1197">
        <v>15894.42</v>
      </c>
      <c r="J1197">
        <v>592.77</v>
      </c>
      <c r="K1197">
        <v>1833.58</v>
      </c>
      <c r="L1197">
        <v>17135.23</v>
      </c>
      <c r="M1197" t="s">
        <v>50</v>
      </c>
      <c r="N1197">
        <v>22</v>
      </c>
    </row>
    <row r="1198" spans="1:14" x14ac:dyDescent="0.35">
      <c r="A1198">
        <v>101197</v>
      </c>
      <c r="B1198">
        <v>63800</v>
      </c>
      <c r="C1198" t="s">
        <v>622</v>
      </c>
      <c r="D1198" t="s">
        <v>65</v>
      </c>
      <c r="E1198" t="s">
        <v>16</v>
      </c>
      <c r="F1198" t="s">
        <v>35</v>
      </c>
      <c r="G1198" t="s">
        <v>72</v>
      </c>
      <c r="H1198">
        <v>19701</v>
      </c>
      <c r="I1198">
        <v>18352.41</v>
      </c>
      <c r="J1198">
        <v>9806.61</v>
      </c>
      <c r="K1198">
        <v>1348.59</v>
      </c>
      <c r="L1198">
        <v>9894.39</v>
      </c>
      <c r="M1198" t="s">
        <v>39</v>
      </c>
      <c r="N1198">
        <v>106</v>
      </c>
    </row>
    <row r="1199" spans="1:14" x14ac:dyDescent="0.35">
      <c r="A1199">
        <v>101198</v>
      </c>
      <c r="B1199">
        <v>66639</v>
      </c>
      <c r="C1199" t="s">
        <v>42</v>
      </c>
      <c r="D1199" t="s">
        <v>21</v>
      </c>
      <c r="E1199" t="s">
        <v>37</v>
      </c>
      <c r="F1199" t="s">
        <v>17</v>
      </c>
      <c r="G1199" t="s">
        <v>72</v>
      </c>
      <c r="H1199">
        <v>18820</v>
      </c>
      <c r="I1199">
        <v>11454.51</v>
      </c>
      <c r="J1199">
        <v>2488.2800000000002</v>
      </c>
      <c r="K1199">
        <v>7365.49</v>
      </c>
      <c r="L1199">
        <v>16331.72</v>
      </c>
      <c r="M1199" t="s">
        <v>50</v>
      </c>
      <c r="N1199">
        <v>88</v>
      </c>
    </row>
    <row r="1200" spans="1:14" x14ac:dyDescent="0.35">
      <c r="A1200">
        <v>101199</v>
      </c>
      <c r="B1200">
        <v>51835</v>
      </c>
      <c r="C1200" t="s">
        <v>340</v>
      </c>
      <c r="D1200" t="s">
        <v>30</v>
      </c>
      <c r="E1200" t="s">
        <v>31</v>
      </c>
      <c r="F1200" t="s">
        <v>44</v>
      </c>
      <c r="G1200" t="s">
        <v>45</v>
      </c>
      <c r="H1200">
        <v>11658</v>
      </c>
      <c r="I1200">
        <v>10270.91</v>
      </c>
      <c r="J1200">
        <v>10270.91</v>
      </c>
      <c r="K1200">
        <v>1387.09</v>
      </c>
      <c r="L1200">
        <v>1387.09</v>
      </c>
      <c r="M1200" t="s">
        <v>19</v>
      </c>
      <c r="N1200">
        <v>157</v>
      </c>
    </row>
    <row r="1201" spans="1:14" x14ac:dyDescent="0.35">
      <c r="A1201">
        <v>101200</v>
      </c>
      <c r="B1201">
        <v>95147</v>
      </c>
      <c r="C1201" t="s">
        <v>606</v>
      </c>
      <c r="D1201" t="s">
        <v>52</v>
      </c>
      <c r="E1201" t="s">
        <v>22</v>
      </c>
      <c r="F1201" t="s">
        <v>61</v>
      </c>
      <c r="G1201" t="s">
        <v>18</v>
      </c>
      <c r="H1201">
        <v>23698</v>
      </c>
      <c r="I1201">
        <v>13267.35</v>
      </c>
      <c r="J1201">
        <v>6977.89</v>
      </c>
      <c r="K1201">
        <v>10430.65</v>
      </c>
      <c r="L1201">
        <v>16720.11</v>
      </c>
      <c r="M1201" t="s">
        <v>39</v>
      </c>
      <c r="N1201">
        <v>106</v>
      </c>
    </row>
    <row r="1202" spans="1:14" x14ac:dyDescent="0.35">
      <c r="A1202">
        <v>101201</v>
      </c>
      <c r="B1202">
        <v>93969</v>
      </c>
      <c r="C1202" t="s">
        <v>126</v>
      </c>
      <c r="D1202" t="s">
        <v>34</v>
      </c>
      <c r="E1202" t="s">
        <v>37</v>
      </c>
      <c r="F1202" t="s">
        <v>17</v>
      </c>
      <c r="G1202" t="s">
        <v>38</v>
      </c>
      <c r="H1202">
        <v>8589</v>
      </c>
      <c r="I1202">
        <v>4920.04</v>
      </c>
      <c r="J1202">
        <v>0</v>
      </c>
      <c r="K1202">
        <v>3668.96</v>
      </c>
      <c r="L1202">
        <v>8589</v>
      </c>
      <c r="M1202" t="s">
        <v>62</v>
      </c>
      <c r="N1202">
        <v>46</v>
      </c>
    </row>
    <row r="1203" spans="1:14" x14ac:dyDescent="0.35">
      <c r="A1203">
        <v>101202</v>
      </c>
      <c r="B1203">
        <v>97896</v>
      </c>
      <c r="C1203" t="s">
        <v>142</v>
      </c>
      <c r="D1203" t="s">
        <v>49</v>
      </c>
      <c r="E1203" t="s">
        <v>37</v>
      </c>
      <c r="F1203" t="s">
        <v>61</v>
      </c>
      <c r="G1203" t="s">
        <v>45</v>
      </c>
      <c r="H1203">
        <v>16840</v>
      </c>
      <c r="I1203">
        <v>14506.28</v>
      </c>
      <c r="J1203">
        <v>14506.28</v>
      </c>
      <c r="K1203">
        <v>2333.7199999999998</v>
      </c>
      <c r="L1203">
        <v>2333.7199999999998</v>
      </c>
      <c r="M1203" t="s">
        <v>19</v>
      </c>
      <c r="N1203">
        <v>77</v>
      </c>
    </row>
    <row r="1204" spans="1:14" x14ac:dyDescent="0.35">
      <c r="A1204">
        <v>101203</v>
      </c>
      <c r="B1204">
        <v>97344</v>
      </c>
      <c r="C1204" t="s">
        <v>318</v>
      </c>
      <c r="D1204" t="s">
        <v>49</v>
      </c>
      <c r="E1204" t="s">
        <v>37</v>
      </c>
      <c r="F1204" t="s">
        <v>35</v>
      </c>
      <c r="G1204" t="s">
        <v>45</v>
      </c>
      <c r="H1204">
        <v>10719</v>
      </c>
      <c r="I1204">
        <v>6333.83</v>
      </c>
      <c r="J1204">
        <v>6333.83</v>
      </c>
      <c r="K1204">
        <v>4385.17</v>
      </c>
      <c r="L1204">
        <v>4385.17</v>
      </c>
      <c r="M1204" t="s">
        <v>19</v>
      </c>
      <c r="N1204">
        <v>172</v>
      </c>
    </row>
    <row r="1205" spans="1:14" x14ac:dyDescent="0.35">
      <c r="A1205">
        <v>101204</v>
      </c>
      <c r="B1205">
        <v>75980</v>
      </c>
      <c r="C1205" t="s">
        <v>220</v>
      </c>
      <c r="D1205" t="s">
        <v>49</v>
      </c>
      <c r="E1205" t="s">
        <v>31</v>
      </c>
      <c r="F1205" t="s">
        <v>23</v>
      </c>
      <c r="G1205" t="s">
        <v>38</v>
      </c>
      <c r="H1205">
        <v>11120</v>
      </c>
      <c r="I1205">
        <v>7817.12</v>
      </c>
      <c r="J1205">
        <v>5670.92</v>
      </c>
      <c r="K1205">
        <v>3302.88</v>
      </c>
      <c r="L1205">
        <v>5449.08</v>
      </c>
      <c r="M1205" t="s">
        <v>39</v>
      </c>
      <c r="N1205">
        <v>130</v>
      </c>
    </row>
    <row r="1206" spans="1:14" x14ac:dyDescent="0.35">
      <c r="A1206">
        <v>101205</v>
      </c>
      <c r="B1206">
        <v>13389</v>
      </c>
      <c r="C1206" t="s">
        <v>286</v>
      </c>
      <c r="D1206" t="s">
        <v>34</v>
      </c>
      <c r="E1206" t="s">
        <v>26</v>
      </c>
      <c r="F1206" t="s">
        <v>54</v>
      </c>
      <c r="G1206" t="s">
        <v>24</v>
      </c>
      <c r="H1206">
        <v>20383</v>
      </c>
      <c r="I1206">
        <v>14935.59</v>
      </c>
      <c r="J1206">
        <v>0</v>
      </c>
      <c r="K1206">
        <v>5447.41</v>
      </c>
      <c r="L1206">
        <v>20383</v>
      </c>
      <c r="M1206" t="s">
        <v>62</v>
      </c>
      <c r="N1206">
        <v>51</v>
      </c>
    </row>
    <row r="1207" spans="1:14" x14ac:dyDescent="0.35">
      <c r="A1207">
        <v>101206</v>
      </c>
      <c r="B1207">
        <v>34012</v>
      </c>
      <c r="C1207" t="s">
        <v>271</v>
      </c>
      <c r="D1207" t="s">
        <v>30</v>
      </c>
      <c r="E1207" t="s">
        <v>16</v>
      </c>
      <c r="F1207" t="s">
        <v>44</v>
      </c>
      <c r="G1207" t="s">
        <v>72</v>
      </c>
      <c r="H1207">
        <v>9711</v>
      </c>
      <c r="I1207">
        <v>9192.61</v>
      </c>
      <c r="J1207">
        <v>133.43</v>
      </c>
      <c r="K1207">
        <v>518.39</v>
      </c>
      <c r="L1207">
        <v>9577.57</v>
      </c>
      <c r="M1207" t="s">
        <v>50</v>
      </c>
      <c r="N1207">
        <v>27</v>
      </c>
    </row>
    <row r="1208" spans="1:14" x14ac:dyDescent="0.35">
      <c r="A1208">
        <v>101207</v>
      </c>
      <c r="B1208">
        <v>41582</v>
      </c>
      <c r="C1208" t="s">
        <v>576</v>
      </c>
      <c r="D1208" t="s">
        <v>34</v>
      </c>
      <c r="E1208" t="s">
        <v>43</v>
      </c>
      <c r="F1208" t="s">
        <v>32</v>
      </c>
      <c r="G1208" t="s">
        <v>28</v>
      </c>
      <c r="H1208">
        <v>2492</v>
      </c>
      <c r="I1208">
        <v>2260.2800000000002</v>
      </c>
      <c r="J1208">
        <v>2260.2800000000002</v>
      </c>
      <c r="K1208">
        <v>231.72</v>
      </c>
      <c r="L1208">
        <v>231.72</v>
      </c>
      <c r="M1208" t="s">
        <v>19</v>
      </c>
      <c r="N1208">
        <v>28</v>
      </c>
    </row>
    <row r="1209" spans="1:14" x14ac:dyDescent="0.35">
      <c r="A1209">
        <v>101208</v>
      </c>
      <c r="B1209">
        <v>10413</v>
      </c>
      <c r="C1209" t="s">
        <v>623</v>
      </c>
      <c r="D1209" t="s">
        <v>52</v>
      </c>
      <c r="E1209" t="s">
        <v>43</v>
      </c>
      <c r="F1209" t="s">
        <v>27</v>
      </c>
      <c r="G1209" t="s">
        <v>38</v>
      </c>
      <c r="H1209">
        <v>18692</v>
      </c>
      <c r="I1209">
        <v>17476.66</v>
      </c>
      <c r="J1209">
        <v>0</v>
      </c>
      <c r="K1209">
        <v>1215.3399999999999</v>
      </c>
      <c r="L1209">
        <v>18692</v>
      </c>
      <c r="M1209" t="s">
        <v>62</v>
      </c>
      <c r="N1209">
        <v>133</v>
      </c>
    </row>
    <row r="1210" spans="1:14" x14ac:dyDescent="0.35">
      <c r="A1210">
        <v>101209</v>
      </c>
      <c r="B1210">
        <v>52610</v>
      </c>
      <c r="C1210" t="s">
        <v>624</v>
      </c>
      <c r="D1210" t="s">
        <v>21</v>
      </c>
      <c r="E1210" t="s">
        <v>26</v>
      </c>
      <c r="F1210" t="s">
        <v>32</v>
      </c>
      <c r="G1210" t="s">
        <v>18</v>
      </c>
      <c r="H1210">
        <v>3787</v>
      </c>
      <c r="I1210">
        <v>2828.96</v>
      </c>
      <c r="J1210">
        <v>2828.96</v>
      </c>
      <c r="K1210">
        <v>958.04</v>
      </c>
      <c r="L1210">
        <v>958.04</v>
      </c>
      <c r="M1210" t="s">
        <v>19</v>
      </c>
      <c r="N1210">
        <v>100</v>
      </c>
    </row>
    <row r="1211" spans="1:14" x14ac:dyDescent="0.35">
      <c r="A1211">
        <v>101210</v>
      </c>
      <c r="B1211">
        <v>78216</v>
      </c>
      <c r="C1211" t="s">
        <v>480</v>
      </c>
      <c r="D1211" t="s">
        <v>30</v>
      </c>
      <c r="E1211" t="s">
        <v>31</v>
      </c>
      <c r="F1211" t="s">
        <v>35</v>
      </c>
      <c r="G1211" t="s">
        <v>47</v>
      </c>
      <c r="H1211">
        <v>11922</v>
      </c>
      <c r="I1211">
        <v>8524.2099999999991</v>
      </c>
      <c r="J1211">
        <v>8524.2099999999991</v>
      </c>
      <c r="K1211">
        <v>3397.79</v>
      </c>
      <c r="L1211">
        <v>3397.79</v>
      </c>
      <c r="M1211" t="s">
        <v>19</v>
      </c>
      <c r="N1211">
        <v>146</v>
      </c>
    </row>
    <row r="1212" spans="1:14" x14ac:dyDescent="0.35">
      <c r="A1212">
        <v>101211</v>
      </c>
      <c r="B1212">
        <v>70103</v>
      </c>
      <c r="C1212" t="s">
        <v>625</v>
      </c>
      <c r="D1212" t="s">
        <v>34</v>
      </c>
      <c r="E1212" t="s">
        <v>43</v>
      </c>
      <c r="F1212" t="s">
        <v>54</v>
      </c>
      <c r="G1212" t="s">
        <v>72</v>
      </c>
      <c r="H1212">
        <v>10350</v>
      </c>
      <c r="I1212">
        <v>5927.42</v>
      </c>
      <c r="J1212">
        <v>5927.42</v>
      </c>
      <c r="K1212">
        <v>4422.58</v>
      </c>
      <c r="L1212">
        <v>4422.58</v>
      </c>
      <c r="M1212" t="s">
        <v>19</v>
      </c>
      <c r="N1212">
        <v>168</v>
      </c>
    </row>
    <row r="1213" spans="1:14" x14ac:dyDescent="0.35">
      <c r="A1213">
        <v>101212</v>
      </c>
      <c r="B1213">
        <v>74902</v>
      </c>
      <c r="C1213" t="s">
        <v>268</v>
      </c>
      <c r="D1213" t="s">
        <v>65</v>
      </c>
      <c r="E1213" t="s">
        <v>43</v>
      </c>
      <c r="F1213" t="s">
        <v>54</v>
      </c>
      <c r="G1213" t="s">
        <v>72</v>
      </c>
      <c r="H1213">
        <v>725</v>
      </c>
      <c r="I1213">
        <v>438.52</v>
      </c>
      <c r="J1213">
        <v>438.52</v>
      </c>
      <c r="K1213">
        <v>286.48</v>
      </c>
      <c r="L1213">
        <v>286.48</v>
      </c>
      <c r="M1213" t="s">
        <v>19</v>
      </c>
      <c r="N1213">
        <v>37</v>
      </c>
    </row>
    <row r="1214" spans="1:14" x14ac:dyDescent="0.35">
      <c r="A1214">
        <v>101213</v>
      </c>
      <c r="B1214">
        <v>63529</v>
      </c>
      <c r="C1214" t="s">
        <v>269</v>
      </c>
      <c r="D1214" t="s">
        <v>65</v>
      </c>
      <c r="E1214" t="s">
        <v>22</v>
      </c>
      <c r="F1214" t="s">
        <v>32</v>
      </c>
      <c r="G1214" t="s">
        <v>47</v>
      </c>
      <c r="H1214">
        <v>8872</v>
      </c>
      <c r="I1214">
        <v>7059.22</v>
      </c>
      <c r="J1214">
        <v>2045.01</v>
      </c>
      <c r="K1214">
        <v>1812.78</v>
      </c>
      <c r="L1214">
        <v>6826.99</v>
      </c>
      <c r="M1214" t="s">
        <v>50</v>
      </c>
      <c r="N1214">
        <v>50</v>
      </c>
    </row>
    <row r="1215" spans="1:14" x14ac:dyDescent="0.35">
      <c r="A1215">
        <v>101214</v>
      </c>
      <c r="B1215">
        <v>52178</v>
      </c>
      <c r="C1215" t="s">
        <v>75</v>
      </c>
      <c r="D1215" t="s">
        <v>65</v>
      </c>
      <c r="E1215" t="s">
        <v>16</v>
      </c>
      <c r="F1215" t="s">
        <v>35</v>
      </c>
      <c r="G1215" t="s">
        <v>72</v>
      </c>
      <c r="H1215">
        <v>16805</v>
      </c>
      <c r="I1215">
        <v>9646.2099999999991</v>
      </c>
      <c r="J1215">
        <v>9646.2099999999991</v>
      </c>
      <c r="K1215">
        <v>7158.79</v>
      </c>
      <c r="L1215">
        <v>7158.79</v>
      </c>
      <c r="M1215" t="s">
        <v>19</v>
      </c>
      <c r="N1215">
        <v>7</v>
      </c>
    </row>
    <row r="1216" spans="1:14" x14ac:dyDescent="0.35">
      <c r="A1216">
        <v>101215</v>
      </c>
      <c r="B1216">
        <v>21756</v>
      </c>
      <c r="C1216" t="s">
        <v>516</v>
      </c>
      <c r="D1216" t="s">
        <v>15</v>
      </c>
      <c r="E1216" t="s">
        <v>22</v>
      </c>
      <c r="F1216" t="s">
        <v>23</v>
      </c>
      <c r="G1216" t="s">
        <v>38</v>
      </c>
      <c r="H1216">
        <v>13277</v>
      </c>
      <c r="I1216">
        <v>10076.700000000001</v>
      </c>
      <c r="J1216">
        <v>10076.700000000001</v>
      </c>
      <c r="K1216">
        <v>3200.3</v>
      </c>
      <c r="L1216">
        <v>3200.3</v>
      </c>
      <c r="M1216" t="s">
        <v>19</v>
      </c>
      <c r="N1216">
        <v>14</v>
      </c>
    </row>
    <row r="1217" spans="1:14" x14ac:dyDescent="0.35">
      <c r="A1217">
        <v>101216</v>
      </c>
      <c r="B1217">
        <v>60831</v>
      </c>
      <c r="C1217" t="s">
        <v>385</v>
      </c>
      <c r="D1217" t="s">
        <v>49</v>
      </c>
      <c r="E1217" t="s">
        <v>37</v>
      </c>
      <c r="F1217" t="s">
        <v>23</v>
      </c>
      <c r="G1217" t="s">
        <v>47</v>
      </c>
      <c r="H1217">
        <v>10881</v>
      </c>
      <c r="I1217">
        <v>8818.6200000000008</v>
      </c>
      <c r="J1217">
        <v>0</v>
      </c>
      <c r="K1217">
        <v>2062.38</v>
      </c>
      <c r="L1217">
        <v>10881</v>
      </c>
      <c r="M1217" t="s">
        <v>62</v>
      </c>
      <c r="N1217">
        <v>62</v>
      </c>
    </row>
    <row r="1218" spans="1:14" x14ac:dyDescent="0.35">
      <c r="A1218">
        <v>101217</v>
      </c>
      <c r="B1218">
        <v>75990</v>
      </c>
      <c r="C1218" t="s">
        <v>626</v>
      </c>
      <c r="D1218" t="s">
        <v>30</v>
      </c>
      <c r="E1218" t="s">
        <v>41</v>
      </c>
      <c r="F1218" t="s">
        <v>32</v>
      </c>
      <c r="G1218" t="s">
        <v>72</v>
      </c>
      <c r="H1218">
        <v>16664</v>
      </c>
      <c r="I1218">
        <v>13550.31</v>
      </c>
      <c r="J1218">
        <v>13550.31</v>
      </c>
      <c r="K1218">
        <v>3113.69</v>
      </c>
      <c r="L1218">
        <v>3113.69</v>
      </c>
      <c r="M1218" t="s">
        <v>19</v>
      </c>
      <c r="N1218">
        <v>86</v>
      </c>
    </row>
    <row r="1219" spans="1:14" x14ac:dyDescent="0.35">
      <c r="A1219">
        <v>101218</v>
      </c>
      <c r="B1219">
        <v>35199</v>
      </c>
      <c r="C1219" t="s">
        <v>87</v>
      </c>
      <c r="D1219" t="s">
        <v>15</v>
      </c>
      <c r="E1219" t="s">
        <v>26</v>
      </c>
      <c r="F1219" t="s">
        <v>17</v>
      </c>
      <c r="G1219" t="s">
        <v>38</v>
      </c>
      <c r="H1219">
        <v>8687</v>
      </c>
      <c r="I1219">
        <v>7945.18</v>
      </c>
      <c r="J1219">
        <v>7945.18</v>
      </c>
      <c r="K1219">
        <v>741.82</v>
      </c>
      <c r="L1219">
        <v>741.82</v>
      </c>
      <c r="M1219" t="s">
        <v>19</v>
      </c>
      <c r="N1219">
        <v>111</v>
      </c>
    </row>
    <row r="1220" spans="1:14" x14ac:dyDescent="0.35">
      <c r="A1220">
        <v>101219</v>
      </c>
      <c r="B1220">
        <v>78781</v>
      </c>
      <c r="C1220" t="s">
        <v>466</v>
      </c>
      <c r="D1220" t="s">
        <v>65</v>
      </c>
      <c r="E1220" t="s">
        <v>26</v>
      </c>
      <c r="F1220" t="s">
        <v>44</v>
      </c>
      <c r="G1220" t="s">
        <v>18</v>
      </c>
      <c r="H1220">
        <v>3455</v>
      </c>
      <c r="I1220">
        <v>1961.25</v>
      </c>
      <c r="J1220">
        <v>1961.25</v>
      </c>
      <c r="K1220">
        <v>1493.75</v>
      </c>
      <c r="L1220">
        <v>1493.75</v>
      </c>
      <c r="M1220" t="s">
        <v>19</v>
      </c>
      <c r="N1220">
        <v>47</v>
      </c>
    </row>
    <row r="1221" spans="1:14" x14ac:dyDescent="0.35">
      <c r="A1221">
        <v>101220</v>
      </c>
      <c r="B1221">
        <v>42072</v>
      </c>
      <c r="C1221" t="s">
        <v>60</v>
      </c>
      <c r="D1221" t="s">
        <v>65</v>
      </c>
      <c r="E1221" t="s">
        <v>22</v>
      </c>
      <c r="F1221" t="s">
        <v>35</v>
      </c>
      <c r="G1221" t="s">
        <v>28</v>
      </c>
      <c r="H1221">
        <v>462</v>
      </c>
      <c r="I1221">
        <v>432.82</v>
      </c>
      <c r="J1221">
        <v>432.82</v>
      </c>
      <c r="K1221">
        <v>29.18</v>
      </c>
      <c r="L1221">
        <v>29.18</v>
      </c>
      <c r="M1221" t="s">
        <v>19</v>
      </c>
      <c r="N1221">
        <v>90</v>
      </c>
    </row>
    <row r="1222" spans="1:14" x14ac:dyDescent="0.35">
      <c r="A1222">
        <v>101221</v>
      </c>
      <c r="B1222">
        <v>50653</v>
      </c>
      <c r="C1222" t="s">
        <v>369</v>
      </c>
      <c r="D1222" t="s">
        <v>15</v>
      </c>
      <c r="E1222" t="s">
        <v>31</v>
      </c>
      <c r="F1222" t="s">
        <v>32</v>
      </c>
      <c r="G1222" t="s">
        <v>72</v>
      </c>
      <c r="H1222">
        <v>7067</v>
      </c>
      <c r="I1222">
        <v>6131.42</v>
      </c>
      <c r="J1222">
        <v>6131.42</v>
      </c>
      <c r="K1222">
        <v>935.58</v>
      </c>
      <c r="L1222">
        <v>935.58</v>
      </c>
      <c r="M1222" t="s">
        <v>19</v>
      </c>
      <c r="N1222">
        <v>80</v>
      </c>
    </row>
    <row r="1223" spans="1:14" x14ac:dyDescent="0.35">
      <c r="A1223">
        <v>101222</v>
      </c>
      <c r="B1223">
        <v>26036</v>
      </c>
      <c r="C1223" t="s">
        <v>342</v>
      </c>
      <c r="D1223" t="s">
        <v>49</v>
      </c>
      <c r="E1223" t="s">
        <v>37</v>
      </c>
      <c r="F1223" t="s">
        <v>35</v>
      </c>
      <c r="G1223" t="s">
        <v>45</v>
      </c>
      <c r="H1223">
        <v>8650</v>
      </c>
      <c r="I1223">
        <v>6572.38</v>
      </c>
      <c r="J1223">
        <v>6572.38</v>
      </c>
      <c r="K1223">
        <v>2077.62</v>
      </c>
      <c r="L1223">
        <v>2077.62</v>
      </c>
      <c r="M1223" t="s">
        <v>19</v>
      </c>
      <c r="N1223">
        <v>8</v>
      </c>
    </row>
    <row r="1224" spans="1:14" x14ac:dyDescent="0.35">
      <c r="A1224">
        <v>101223</v>
      </c>
      <c r="B1224">
        <v>84275</v>
      </c>
      <c r="C1224" t="s">
        <v>267</v>
      </c>
      <c r="D1224" t="s">
        <v>15</v>
      </c>
      <c r="E1224" t="s">
        <v>22</v>
      </c>
      <c r="F1224" t="s">
        <v>54</v>
      </c>
      <c r="G1224" t="s">
        <v>28</v>
      </c>
      <c r="H1224">
        <v>6675</v>
      </c>
      <c r="I1224">
        <v>6137.25</v>
      </c>
      <c r="J1224">
        <v>6137.25</v>
      </c>
      <c r="K1224">
        <v>537.75</v>
      </c>
      <c r="L1224">
        <v>537.75</v>
      </c>
      <c r="M1224" t="s">
        <v>19</v>
      </c>
      <c r="N1224">
        <v>93</v>
      </c>
    </row>
    <row r="1225" spans="1:14" x14ac:dyDescent="0.35">
      <c r="A1225">
        <v>101224</v>
      </c>
      <c r="B1225">
        <v>85213</v>
      </c>
      <c r="C1225" t="s">
        <v>133</v>
      </c>
      <c r="D1225" t="s">
        <v>21</v>
      </c>
      <c r="E1225" t="s">
        <v>56</v>
      </c>
      <c r="F1225" t="s">
        <v>32</v>
      </c>
      <c r="G1225" t="s">
        <v>24</v>
      </c>
      <c r="H1225">
        <v>9873</v>
      </c>
      <c r="I1225">
        <v>5842.41</v>
      </c>
      <c r="J1225">
        <v>5842.41</v>
      </c>
      <c r="K1225">
        <v>4030.59</v>
      </c>
      <c r="L1225">
        <v>4030.59</v>
      </c>
      <c r="M1225" t="s">
        <v>19</v>
      </c>
      <c r="N1225">
        <v>97</v>
      </c>
    </row>
    <row r="1226" spans="1:14" x14ac:dyDescent="0.35">
      <c r="A1226">
        <v>101225</v>
      </c>
      <c r="B1226">
        <v>15325</v>
      </c>
      <c r="C1226" t="s">
        <v>219</v>
      </c>
      <c r="D1226" t="s">
        <v>21</v>
      </c>
      <c r="E1226" t="s">
        <v>43</v>
      </c>
      <c r="F1226" t="s">
        <v>35</v>
      </c>
      <c r="G1226" t="s">
        <v>28</v>
      </c>
      <c r="H1226">
        <v>5724</v>
      </c>
      <c r="I1226">
        <v>5240.2</v>
      </c>
      <c r="J1226">
        <v>5240.2</v>
      </c>
      <c r="K1226">
        <v>483.8</v>
      </c>
      <c r="L1226">
        <v>483.8</v>
      </c>
      <c r="M1226" t="s">
        <v>19</v>
      </c>
      <c r="N1226">
        <v>74</v>
      </c>
    </row>
    <row r="1227" spans="1:14" x14ac:dyDescent="0.35">
      <c r="A1227">
        <v>101226</v>
      </c>
      <c r="B1227">
        <v>39615</v>
      </c>
      <c r="C1227" t="s">
        <v>314</v>
      </c>
      <c r="D1227" t="s">
        <v>34</v>
      </c>
      <c r="E1227" t="s">
        <v>41</v>
      </c>
      <c r="F1227" t="s">
        <v>23</v>
      </c>
      <c r="G1227" t="s">
        <v>47</v>
      </c>
      <c r="H1227">
        <v>13933</v>
      </c>
      <c r="I1227">
        <v>8066.97</v>
      </c>
      <c r="J1227">
        <v>8066.97</v>
      </c>
      <c r="K1227">
        <v>5866.03</v>
      </c>
      <c r="L1227">
        <v>5866.03</v>
      </c>
      <c r="M1227" t="s">
        <v>19</v>
      </c>
      <c r="N1227">
        <v>163</v>
      </c>
    </row>
    <row r="1228" spans="1:14" x14ac:dyDescent="0.35">
      <c r="A1228">
        <v>101227</v>
      </c>
      <c r="B1228">
        <v>73802</v>
      </c>
      <c r="C1228" t="s">
        <v>287</v>
      </c>
      <c r="D1228" t="s">
        <v>49</v>
      </c>
      <c r="E1228" t="s">
        <v>37</v>
      </c>
      <c r="F1228" t="s">
        <v>44</v>
      </c>
      <c r="G1228" t="s">
        <v>47</v>
      </c>
      <c r="H1228">
        <v>1826</v>
      </c>
      <c r="I1228">
        <v>1322.12</v>
      </c>
      <c r="J1228">
        <v>1322.12</v>
      </c>
      <c r="K1228">
        <v>503.88</v>
      </c>
      <c r="L1228">
        <v>503.88</v>
      </c>
      <c r="M1228" t="s">
        <v>19</v>
      </c>
      <c r="N1228">
        <v>78</v>
      </c>
    </row>
    <row r="1229" spans="1:14" x14ac:dyDescent="0.35">
      <c r="A1229">
        <v>101228</v>
      </c>
      <c r="B1229">
        <v>10493</v>
      </c>
      <c r="C1229" t="s">
        <v>453</v>
      </c>
      <c r="D1229" t="s">
        <v>21</v>
      </c>
      <c r="E1229" t="s">
        <v>31</v>
      </c>
      <c r="F1229" t="s">
        <v>61</v>
      </c>
      <c r="G1229" t="s">
        <v>28</v>
      </c>
      <c r="H1229">
        <v>16514</v>
      </c>
      <c r="I1229">
        <v>11539.91</v>
      </c>
      <c r="J1229">
        <v>11539.91</v>
      </c>
      <c r="K1229">
        <v>4974.09</v>
      </c>
      <c r="L1229">
        <v>4974.09</v>
      </c>
      <c r="M1229" t="s">
        <v>19</v>
      </c>
      <c r="N1229">
        <v>52</v>
      </c>
    </row>
    <row r="1230" spans="1:14" x14ac:dyDescent="0.35">
      <c r="A1230">
        <v>101229</v>
      </c>
      <c r="B1230">
        <v>85372</v>
      </c>
      <c r="C1230" t="s">
        <v>549</v>
      </c>
      <c r="D1230" t="s">
        <v>49</v>
      </c>
      <c r="E1230" t="s">
        <v>31</v>
      </c>
      <c r="F1230" t="s">
        <v>35</v>
      </c>
      <c r="G1230" t="s">
        <v>28</v>
      </c>
      <c r="H1230">
        <v>15132</v>
      </c>
      <c r="I1230">
        <v>12878.28</v>
      </c>
      <c r="J1230">
        <v>1546.93</v>
      </c>
      <c r="K1230">
        <v>2253.7199999999998</v>
      </c>
      <c r="L1230">
        <v>13585.07</v>
      </c>
      <c r="M1230" t="s">
        <v>50</v>
      </c>
      <c r="N1230">
        <v>102</v>
      </c>
    </row>
    <row r="1231" spans="1:14" x14ac:dyDescent="0.35">
      <c r="A1231">
        <v>101230</v>
      </c>
      <c r="B1231">
        <v>17219</v>
      </c>
      <c r="C1231" t="s">
        <v>238</v>
      </c>
      <c r="D1231" t="s">
        <v>21</v>
      </c>
      <c r="E1231" t="s">
        <v>37</v>
      </c>
      <c r="F1231" t="s">
        <v>17</v>
      </c>
      <c r="G1231" t="s">
        <v>28</v>
      </c>
      <c r="H1231">
        <v>11975</v>
      </c>
      <c r="I1231">
        <v>8746.16</v>
      </c>
      <c r="J1231">
        <v>0</v>
      </c>
      <c r="K1231">
        <v>3228.84</v>
      </c>
      <c r="L1231">
        <v>11975</v>
      </c>
      <c r="M1231" t="s">
        <v>62</v>
      </c>
      <c r="N1231">
        <v>166</v>
      </c>
    </row>
    <row r="1232" spans="1:14" x14ac:dyDescent="0.35">
      <c r="A1232">
        <v>101231</v>
      </c>
      <c r="B1232">
        <v>50131</v>
      </c>
      <c r="C1232" t="s">
        <v>627</v>
      </c>
      <c r="D1232" t="s">
        <v>65</v>
      </c>
      <c r="E1232" t="s">
        <v>41</v>
      </c>
      <c r="F1232" t="s">
        <v>61</v>
      </c>
      <c r="G1232" t="s">
        <v>47</v>
      </c>
      <c r="H1232">
        <v>1219</v>
      </c>
      <c r="I1232">
        <v>1058.72</v>
      </c>
      <c r="J1232">
        <v>1058.72</v>
      </c>
      <c r="K1232">
        <v>160.28</v>
      </c>
      <c r="L1232">
        <v>160.28</v>
      </c>
      <c r="M1232" t="s">
        <v>19</v>
      </c>
      <c r="N1232">
        <v>27</v>
      </c>
    </row>
    <row r="1233" spans="1:14" x14ac:dyDescent="0.35">
      <c r="A1233">
        <v>101232</v>
      </c>
      <c r="B1233">
        <v>50864</v>
      </c>
      <c r="C1233" t="s">
        <v>628</v>
      </c>
      <c r="D1233" t="s">
        <v>15</v>
      </c>
      <c r="E1233" t="s">
        <v>22</v>
      </c>
      <c r="F1233" t="s">
        <v>44</v>
      </c>
      <c r="G1233" t="s">
        <v>38</v>
      </c>
      <c r="H1233">
        <v>11168</v>
      </c>
      <c r="I1233">
        <v>8784.1299999999992</v>
      </c>
      <c r="J1233">
        <v>8784.1299999999992</v>
      </c>
      <c r="K1233">
        <v>2383.87</v>
      </c>
      <c r="L1233">
        <v>2383.87</v>
      </c>
      <c r="M1233" t="s">
        <v>19</v>
      </c>
      <c r="N1233">
        <v>75</v>
      </c>
    </row>
    <row r="1234" spans="1:14" x14ac:dyDescent="0.35">
      <c r="A1234">
        <v>101233</v>
      </c>
      <c r="B1234">
        <v>29943</v>
      </c>
      <c r="C1234" t="s">
        <v>224</v>
      </c>
      <c r="D1234" t="s">
        <v>30</v>
      </c>
      <c r="E1234" t="s">
        <v>56</v>
      </c>
      <c r="F1234" t="s">
        <v>61</v>
      </c>
      <c r="G1234" t="s">
        <v>18</v>
      </c>
      <c r="H1234">
        <v>7095</v>
      </c>
      <c r="I1234">
        <v>5655.22</v>
      </c>
      <c r="J1234">
        <v>5655.22</v>
      </c>
      <c r="K1234">
        <v>1439.78</v>
      </c>
      <c r="L1234">
        <v>1439.78</v>
      </c>
      <c r="M1234" t="s">
        <v>19</v>
      </c>
      <c r="N1234">
        <v>121</v>
      </c>
    </row>
    <row r="1235" spans="1:14" x14ac:dyDescent="0.35">
      <c r="A1235">
        <v>101234</v>
      </c>
      <c r="B1235">
        <v>28735</v>
      </c>
      <c r="C1235" t="s">
        <v>322</v>
      </c>
      <c r="D1235" t="s">
        <v>49</v>
      </c>
      <c r="E1235" t="s">
        <v>22</v>
      </c>
      <c r="F1235" t="s">
        <v>35</v>
      </c>
      <c r="G1235" t="s">
        <v>18</v>
      </c>
      <c r="H1235">
        <v>11351</v>
      </c>
      <c r="I1235">
        <v>9287.7999999999993</v>
      </c>
      <c r="J1235">
        <v>0</v>
      </c>
      <c r="K1235">
        <v>2063.1999999999998</v>
      </c>
      <c r="L1235">
        <v>11351</v>
      </c>
      <c r="M1235" t="s">
        <v>62</v>
      </c>
      <c r="N1235">
        <v>102</v>
      </c>
    </row>
    <row r="1236" spans="1:14" x14ac:dyDescent="0.35">
      <c r="A1236">
        <v>101235</v>
      </c>
      <c r="B1236">
        <v>18447</v>
      </c>
      <c r="C1236" t="s">
        <v>515</v>
      </c>
      <c r="D1236" t="s">
        <v>49</v>
      </c>
      <c r="E1236" t="s">
        <v>56</v>
      </c>
      <c r="F1236" t="s">
        <v>17</v>
      </c>
      <c r="G1236" t="s">
        <v>28</v>
      </c>
      <c r="H1236">
        <v>15112</v>
      </c>
      <c r="I1236">
        <v>13873.09</v>
      </c>
      <c r="J1236">
        <v>13873.09</v>
      </c>
      <c r="K1236">
        <v>1238.9100000000001</v>
      </c>
      <c r="L1236">
        <v>1238.9100000000001</v>
      </c>
      <c r="M1236" t="s">
        <v>19</v>
      </c>
      <c r="N1236">
        <v>110</v>
      </c>
    </row>
    <row r="1237" spans="1:14" x14ac:dyDescent="0.35">
      <c r="A1237">
        <v>101236</v>
      </c>
      <c r="B1237">
        <v>92701</v>
      </c>
      <c r="C1237" t="s">
        <v>564</v>
      </c>
      <c r="D1237" t="s">
        <v>15</v>
      </c>
      <c r="E1237" t="s">
        <v>22</v>
      </c>
      <c r="F1237" t="s">
        <v>61</v>
      </c>
      <c r="G1237" t="s">
        <v>47</v>
      </c>
      <c r="H1237">
        <v>2097</v>
      </c>
      <c r="I1237">
        <v>1354.24</v>
      </c>
      <c r="J1237">
        <v>1354.24</v>
      </c>
      <c r="K1237">
        <v>742.76</v>
      </c>
      <c r="L1237">
        <v>742.76</v>
      </c>
      <c r="M1237" t="s">
        <v>19</v>
      </c>
      <c r="N1237">
        <v>49</v>
      </c>
    </row>
    <row r="1238" spans="1:14" x14ac:dyDescent="0.35">
      <c r="A1238">
        <v>101237</v>
      </c>
      <c r="B1238">
        <v>46216</v>
      </c>
      <c r="C1238" t="s">
        <v>472</v>
      </c>
      <c r="D1238" t="s">
        <v>34</v>
      </c>
      <c r="E1238" t="s">
        <v>31</v>
      </c>
      <c r="F1238" t="s">
        <v>54</v>
      </c>
      <c r="G1238" t="s">
        <v>18</v>
      </c>
      <c r="H1238">
        <v>19411</v>
      </c>
      <c r="I1238">
        <v>13985.74</v>
      </c>
      <c r="J1238">
        <v>3314.61</v>
      </c>
      <c r="K1238">
        <v>5425.26</v>
      </c>
      <c r="L1238">
        <v>16096.39</v>
      </c>
      <c r="M1238" t="s">
        <v>50</v>
      </c>
      <c r="N1238">
        <v>166</v>
      </c>
    </row>
    <row r="1239" spans="1:14" x14ac:dyDescent="0.35">
      <c r="A1239">
        <v>101238</v>
      </c>
      <c r="B1239">
        <v>74935</v>
      </c>
      <c r="C1239" t="s">
        <v>206</v>
      </c>
      <c r="D1239" t="s">
        <v>65</v>
      </c>
      <c r="E1239" t="s">
        <v>16</v>
      </c>
      <c r="F1239" t="s">
        <v>27</v>
      </c>
      <c r="G1239" t="s">
        <v>38</v>
      </c>
      <c r="H1239">
        <v>15471</v>
      </c>
      <c r="I1239">
        <v>11850.85</v>
      </c>
      <c r="J1239">
        <v>11850.85</v>
      </c>
      <c r="K1239">
        <v>3620.15</v>
      </c>
      <c r="L1239">
        <v>3620.15</v>
      </c>
      <c r="M1239" t="s">
        <v>19</v>
      </c>
      <c r="N1239">
        <v>19</v>
      </c>
    </row>
    <row r="1240" spans="1:14" x14ac:dyDescent="0.35">
      <c r="A1240">
        <v>101239</v>
      </c>
      <c r="B1240">
        <v>85097</v>
      </c>
      <c r="C1240" t="s">
        <v>612</v>
      </c>
      <c r="D1240" t="s">
        <v>65</v>
      </c>
      <c r="E1240" t="s">
        <v>22</v>
      </c>
      <c r="F1240" t="s">
        <v>17</v>
      </c>
      <c r="G1240" t="s">
        <v>18</v>
      </c>
      <c r="H1240">
        <v>11784</v>
      </c>
      <c r="I1240">
        <v>6569.82</v>
      </c>
      <c r="J1240">
        <v>6569.82</v>
      </c>
      <c r="K1240">
        <v>5214.18</v>
      </c>
      <c r="L1240">
        <v>5214.18</v>
      </c>
      <c r="M1240" t="s">
        <v>19</v>
      </c>
      <c r="N1240">
        <v>139</v>
      </c>
    </row>
    <row r="1241" spans="1:14" x14ac:dyDescent="0.35">
      <c r="A1241">
        <v>101240</v>
      </c>
      <c r="B1241">
        <v>85637</v>
      </c>
      <c r="C1241" t="s">
        <v>515</v>
      </c>
      <c r="D1241" t="s">
        <v>30</v>
      </c>
      <c r="E1241" t="s">
        <v>16</v>
      </c>
      <c r="F1241" t="s">
        <v>23</v>
      </c>
      <c r="G1241" t="s">
        <v>38</v>
      </c>
      <c r="H1241">
        <v>17691</v>
      </c>
      <c r="I1241">
        <v>10322.94</v>
      </c>
      <c r="J1241">
        <v>10322.94</v>
      </c>
      <c r="K1241">
        <v>7368.06</v>
      </c>
      <c r="L1241">
        <v>7368.06</v>
      </c>
      <c r="M1241" t="s">
        <v>19</v>
      </c>
      <c r="N1241">
        <v>60</v>
      </c>
    </row>
    <row r="1242" spans="1:14" x14ac:dyDescent="0.35">
      <c r="A1242">
        <v>101241</v>
      </c>
      <c r="B1242">
        <v>74889</v>
      </c>
      <c r="C1242" t="s">
        <v>76</v>
      </c>
      <c r="D1242" t="s">
        <v>65</v>
      </c>
      <c r="E1242" t="s">
        <v>26</v>
      </c>
      <c r="F1242" t="s">
        <v>44</v>
      </c>
      <c r="G1242" t="s">
        <v>24</v>
      </c>
      <c r="H1242">
        <v>12268</v>
      </c>
      <c r="I1242">
        <v>7298.81</v>
      </c>
      <c r="J1242">
        <v>7298.81</v>
      </c>
      <c r="K1242">
        <v>4969.1899999999996</v>
      </c>
      <c r="L1242">
        <v>4969.1899999999996</v>
      </c>
      <c r="M1242" t="s">
        <v>19</v>
      </c>
      <c r="N1242">
        <v>79</v>
      </c>
    </row>
    <row r="1243" spans="1:14" x14ac:dyDescent="0.35">
      <c r="A1243">
        <v>101242</v>
      </c>
      <c r="B1243">
        <v>98882</v>
      </c>
      <c r="C1243" t="s">
        <v>528</v>
      </c>
      <c r="D1243" t="s">
        <v>34</v>
      </c>
      <c r="E1243" t="s">
        <v>41</v>
      </c>
      <c r="F1243" t="s">
        <v>17</v>
      </c>
      <c r="G1243" t="s">
        <v>38</v>
      </c>
      <c r="H1243">
        <v>12776</v>
      </c>
      <c r="I1243">
        <v>10746.91</v>
      </c>
      <c r="J1243">
        <v>10746.91</v>
      </c>
      <c r="K1243">
        <v>2029.09</v>
      </c>
      <c r="L1243">
        <v>2029.09</v>
      </c>
      <c r="M1243" t="s">
        <v>19</v>
      </c>
      <c r="N1243">
        <v>167</v>
      </c>
    </row>
    <row r="1244" spans="1:14" x14ac:dyDescent="0.35">
      <c r="A1244">
        <v>101243</v>
      </c>
      <c r="B1244">
        <v>65891</v>
      </c>
      <c r="C1244" t="s">
        <v>521</v>
      </c>
      <c r="D1244" t="s">
        <v>52</v>
      </c>
      <c r="E1244" t="s">
        <v>43</v>
      </c>
      <c r="F1244" t="s">
        <v>23</v>
      </c>
      <c r="G1244" t="s">
        <v>72</v>
      </c>
      <c r="H1244">
        <v>19118</v>
      </c>
      <c r="I1244">
        <v>13189.15</v>
      </c>
      <c r="J1244">
        <v>13189.15</v>
      </c>
      <c r="K1244">
        <v>5928.85</v>
      </c>
      <c r="L1244">
        <v>5928.85</v>
      </c>
      <c r="M1244" t="s">
        <v>19</v>
      </c>
      <c r="N1244">
        <v>50</v>
      </c>
    </row>
    <row r="1245" spans="1:14" x14ac:dyDescent="0.35">
      <c r="A1245">
        <v>101244</v>
      </c>
      <c r="B1245">
        <v>42249</v>
      </c>
      <c r="C1245" t="s">
        <v>629</v>
      </c>
      <c r="D1245" t="s">
        <v>65</v>
      </c>
      <c r="E1245" t="s">
        <v>16</v>
      </c>
      <c r="F1245" t="s">
        <v>35</v>
      </c>
      <c r="G1245" t="s">
        <v>38</v>
      </c>
      <c r="H1245">
        <v>15002</v>
      </c>
      <c r="I1245">
        <v>13566.33</v>
      </c>
      <c r="J1245">
        <v>8158.47</v>
      </c>
      <c r="K1245">
        <v>1435.67</v>
      </c>
      <c r="L1245">
        <v>6843.53</v>
      </c>
      <c r="M1245" t="s">
        <v>39</v>
      </c>
      <c r="N1245">
        <v>55</v>
      </c>
    </row>
    <row r="1246" spans="1:14" x14ac:dyDescent="0.35">
      <c r="A1246">
        <v>101245</v>
      </c>
      <c r="B1246">
        <v>45487</v>
      </c>
      <c r="C1246" t="s">
        <v>254</v>
      </c>
      <c r="D1246" t="s">
        <v>49</v>
      </c>
      <c r="E1246" t="s">
        <v>16</v>
      </c>
      <c r="F1246" t="s">
        <v>32</v>
      </c>
      <c r="G1246" t="s">
        <v>18</v>
      </c>
      <c r="H1246">
        <v>7817</v>
      </c>
      <c r="I1246">
        <v>4449.46</v>
      </c>
      <c r="J1246">
        <v>4449.46</v>
      </c>
      <c r="K1246">
        <v>3367.54</v>
      </c>
      <c r="L1246">
        <v>3367.54</v>
      </c>
      <c r="M1246" t="s">
        <v>19</v>
      </c>
      <c r="N1246">
        <v>105</v>
      </c>
    </row>
    <row r="1247" spans="1:14" x14ac:dyDescent="0.35">
      <c r="A1247">
        <v>101246</v>
      </c>
      <c r="B1247">
        <v>55182</v>
      </c>
      <c r="C1247" t="s">
        <v>249</v>
      </c>
      <c r="D1247" t="s">
        <v>34</v>
      </c>
      <c r="E1247" t="s">
        <v>22</v>
      </c>
      <c r="F1247" t="s">
        <v>44</v>
      </c>
      <c r="G1247" t="s">
        <v>18</v>
      </c>
      <c r="H1247">
        <v>10029</v>
      </c>
      <c r="I1247">
        <v>6522</v>
      </c>
      <c r="J1247">
        <v>6522</v>
      </c>
      <c r="K1247">
        <v>3507</v>
      </c>
      <c r="L1247">
        <v>3507</v>
      </c>
      <c r="M1247" t="s">
        <v>19</v>
      </c>
      <c r="N1247">
        <v>90</v>
      </c>
    </row>
    <row r="1248" spans="1:14" x14ac:dyDescent="0.35">
      <c r="A1248">
        <v>101247</v>
      </c>
      <c r="B1248">
        <v>76564</v>
      </c>
      <c r="C1248" t="s">
        <v>141</v>
      </c>
      <c r="D1248" t="s">
        <v>65</v>
      </c>
      <c r="E1248" t="s">
        <v>22</v>
      </c>
      <c r="F1248" t="s">
        <v>17</v>
      </c>
      <c r="G1248" t="s">
        <v>24</v>
      </c>
      <c r="H1248">
        <v>3458</v>
      </c>
      <c r="I1248">
        <v>2355.38</v>
      </c>
      <c r="J1248">
        <v>1982.9</v>
      </c>
      <c r="K1248">
        <v>1102.6199999999999</v>
      </c>
      <c r="L1248">
        <v>1475.1</v>
      </c>
      <c r="M1248" t="s">
        <v>39</v>
      </c>
      <c r="N1248">
        <v>126</v>
      </c>
    </row>
    <row r="1249" spans="1:14" x14ac:dyDescent="0.35">
      <c r="A1249">
        <v>101248</v>
      </c>
      <c r="B1249">
        <v>77169</v>
      </c>
      <c r="C1249" t="s">
        <v>172</v>
      </c>
      <c r="D1249" t="s">
        <v>49</v>
      </c>
      <c r="E1249" t="s">
        <v>22</v>
      </c>
      <c r="F1249" t="s">
        <v>54</v>
      </c>
      <c r="G1249" t="s">
        <v>47</v>
      </c>
      <c r="H1249">
        <v>14265</v>
      </c>
      <c r="I1249">
        <v>13169.79</v>
      </c>
      <c r="J1249">
        <v>13169.79</v>
      </c>
      <c r="K1249">
        <v>1095.21</v>
      </c>
      <c r="L1249">
        <v>1095.21</v>
      </c>
      <c r="M1249" t="s">
        <v>19</v>
      </c>
      <c r="N1249">
        <v>91</v>
      </c>
    </row>
    <row r="1250" spans="1:14" x14ac:dyDescent="0.35">
      <c r="A1250">
        <v>101249</v>
      </c>
      <c r="B1250">
        <v>59821</v>
      </c>
      <c r="C1250" t="s">
        <v>174</v>
      </c>
      <c r="D1250" t="s">
        <v>65</v>
      </c>
      <c r="E1250" t="s">
        <v>26</v>
      </c>
      <c r="F1250" t="s">
        <v>27</v>
      </c>
      <c r="G1250" t="s">
        <v>18</v>
      </c>
      <c r="H1250">
        <v>12291</v>
      </c>
      <c r="I1250">
        <v>7836.67</v>
      </c>
      <c r="J1250">
        <v>0</v>
      </c>
      <c r="K1250">
        <v>4454.33</v>
      </c>
      <c r="L1250">
        <v>12291</v>
      </c>
      <c r="M1250" t="s">
        <v>62</v>
      </c>
      <c r="N1250">
        <v>135</v>
      </c>
    </row>
    <row r="1251" spans="1:14" x14ac:dyDescent="0.35">
      <c r="A1251">
        <v>101250</v>
      </c>
      <c r="B1251">
        <v>86317</v>
      </c>
      <c r="C1251" t="s">
        <v>503</v>
      </c>
      <c r="D1251" t="s">
        <v>15</v>
      </c>
      <c r="E1251" t="s">
        <v>56</v>
      </c>
      <c r="F1251" t="s">
        <v>54</v>
      </c>
      <c r="G1251" t="s">
        <v>45</v>
      </c>
      <c r="H1251">
        <v>13024</v>
      </c>
      <c r="I1251">
        <v>11562.4</v>
      </c>
      <c r="J1251">
        <v>11562.4</v>
      </c>
      <c r="K1251">
        <v>1461.6</v>
      </c>
      <c r="L1251">
        <v>1461.6</v>
      </c>
      <c r="M1251" t="s">
        <v>19</v>
      </c>
      <c r="N1251">
        <v>3</v>
      </c>
    </row>
    <row r="1252" spans="1:14" x14ac:dyDescent="0.35">
      <c r="A1252">
        <v>101251</v>
      </c>
      <c r="B1252">
        <v>55718</v>
      </c>
      <c r="C1252" t="s">
        <v>511</v>
      </c>
      <c r="D1252" t="s">
        <v>21</v>
      </c>
      <c r="E1252" t="s">
        <v>31</v>
      </c>
      <c r="F1252" t="s">
        <v>61</v>
      </c>
      <c r="G1252" t="s">
        <v>45</v>
      </c>
      <c r="H1252">
        <v>1525</v>
      </c>
      <c r="I1252">
        <v>1074.6099999999999</v>
      </c>
      <c r="J1252">
        <v>1074.6099999999999</v>
      </c>
      <c r="K1252">
        <v>450.39</v>
      </c>
      <c r="L1252">
        <v>450.39</v>
      </c>
      <c r="M1252" t="s">
        <v>19</v>
      </c>
      <c r="N1252">
        <v>99</v>
      </c>
    </row>
    <row r="1253" spans="1:14" x14ac:dyDescent="0.35">
      <c r="A1253">
        <v>101252</v>
      </c>
      <c r="B1253">
        <v>76002</v>
      </c>
      <c r="C1253" t="s">
        <v>326</v>
      </c>
      <c r="D1253" t="s">
        <v>34</v>
      </c>
      <c r="E1253" t="s">
        <v>37</v>
      </c>
      <c r="F1253" t="s">
        <v>44</v>
      </c>
      <c r="G1253" t="s">
        <v>38</v>
      </c>
      <c r="H1253">
        <v>17903</v>
      </c>
      <c r="I1253">
        <v>12366.09</v>
      </c>
      <c r="J1253">
        <v>12366.09</v>
      </c>
      <c r="K1253">
        <v>5536.91</v>
      </c>
      <c r="L1253">
        <v>5536.91</v>
      </c>
      <c r="M1253" t="s">
        <v>19</v>
      </c>
      <c r="N1253">
        <v>99</v>
      </c>
    </row>
    <row r="1254" spans="1:14" x14ac:dyDescent="0.35">
      <c r="A1254">
        <v>101253</v>
      </c>
      <c r="B1254">
        <v>72362</v>
      </c>
      <c r="C1254" t="s">
        <v>383</v>
      </c>
      <c r="D1254" t="s">
        <v>34</v>
      </c>
      <c r="E1254" t="s">
        <v>43</v>
      </c>
      <c r="F1254" t="s">
        <v>54</v>
      </c>
      <c r="G1254" t="s">
        <v>38</v>
      </c>
      <c r="H1254">
        <v>19882</v>
      </c>
      <c r="I1254">
        <v>18001.189999999999</v>
      </c>
      <c r="J1254">
        <v>0</v>
      </c>
      <c r="K1254">
        <v>1880.81</v>
      </c>
      <c r="L1254">
        <v>19882</v>
      </c>
      <c r="M1254" t="s">
        <v>62</v>
      </c>
      <c r="N1254">
        <v>24</v>
      </c>
    </row>
    <row r="1255" spans="1:14" x14ac:dyDescent="0.35">
      <c r="A1255">
        <v>101254</v>
      </c>
      <c r="B1255">
        <v>45741</v>
      </c>
      <c r="C1255" t="s">
        <v>572</v>
      </c>
      <c r="D1255" t="s">
        <v>65</v>
      </c>
      <c r="E1255" t="s">
        <v>22</v>
      </c>
      <c r="F1255" t="s">
        <v>35</v>
      </c>
      <c r="G1255" t="s">
        <v>38</v>
      </c>
      <c r="H1255">
        <v>21565</v>
      </c>
      <c r="I1255">
        <v>18198.939999999999</v>
      </c>
      <c r="J1255">
        <v>1249</v>
      </c>
      <c r="K1255">
        <v>3366.06</v>
      </c>
      <c r="L1255">
        <v>20316</v>
      </c>
      <c r="M1255" t="s">
        <v>50</v>
      </c>
      <c r="N1255">
        <v>10</v>
      </c>
    </row>
    <row r="1256" spans="1:14" x14ac:dyDescent="0.35">
      <c r="A1256">
        <v>101255</v>
      </c>
      <c r="B1256">
        <v>74741</v>
      </c>
      <c r="C1256" t="s">
        <v>630</v>
      </c>
      <c r="D1256" t="s">
        <v>30</v>
      </c>
      <c r="E1256" t="s">
        <v>22</v>
      </c>
      <c r="F1256" t="s">
        <v>44</v>
      </c>
      <c r="G1256" t="s">
        <v>47</v>
      </c>
      <c r="H1256">
        <v>16274</v>
      </c>
      <c r="I1256">
        <v>10002.08</v>
      </c>
      <c r="J1256">
        <v>10002.08</v>
      </c>
      <c r="K1256">
        <v>6271.92</v>
      </c>
      <c r="L1256">
        <v>6271.92</v>
      </c>
      <c r="M1256" t="s">
        <v>19</v>
      </c>
      <c r="N1256">
        <v>165</v>
      </c>
    </row>
    <row r="1257" spans="1:14" x14ac:dyDescent="0.35">
      <c r="A1257">
        <v>101256</v>
      </c>
      <c r="B1257">
        <v>82558</v>
      </c>
      <c r="C1257" t="s">
        <v>79</v>
      </c>
      <c r="D1257" t="s">
        <v>49</v>
      </c>
      <c r="E1257" t="s">
        <v>37</v>
      </c>
      <c r="F1257" t="s">
        <v>54</v>
      </c>
      <c r="G1257" t="s">
        <v>47</v>
      </c>
      <c r="H1257">
        <v>14453</v>
      </c>
      <c r="I1257">
        <v>9367.75</v>
      </c>
      <c r="J1257">
        <v>9367.75</v>
      </c>
      <c r="K1257">
        <v>5085.25</v>
      </c>
      <c r="L1257">
        <v>5085.25</v>
      </c>
      <c r="M1257" t="s">
        <v>19</v>
      </c>
      <c r="N1257">
        <v>17</v>
      </c>
    </row>
    <row r="1258" spans="1:14" x14ac:dyDescent="0.35">
      <c r="A1258">
        <v>101257</v>
      </c>
      <c r="B1258">
        <v>19039</v>
      </c>
      <c r="C1258" t="s">
        <v>575</v>
      </c>
      <c r="D1258" t="s">
        <v>52</v>
      </c>
      <c r="E1258" t="s">
        <v>26</v>
      </c>
      <c r="F1258" t="s">
        <v>23</v>
      </c>
      <c r="G1258" t="s">
        <v>47</v>
      </c>
      <c r="H1258">
        <v>16497</v>
      </c>
      <c r="I1258">
        <v>14706.03</v>
      </c>
      <c r="J1258">
        <v>14706.03</v>
      </c>
      <c r="K1258">
        <v>1790.97</v>
      </c>
      <c r="L1258">
        <v>1790.97</v>
      </c>
      <c r="M1258" t="s">
        <v>19</v>
      </c>
      <c r="N1258">
        <v>129</v>
      </c>
    </row>
    <row r="1259" spans="1:14" x14ac:dyDescent="0.35">
      <c r="A1259">
        <v>101258</v>
      </c>
      <c r="B1259">
        <v>45876</v>
      </c>
      <c r="C1259" t="s">
        <v>331</v>
      </c>
      <c r="D1259" t="s">
        <v>21</v>
      </c>
      <c r="E1259" t="s">
        <v>22</v>
      </c>
      <c r="F1259" t="s">
        <v>44</v>
      </c>
      <c r="G1259" t="s">
        <v>47</v>
      </c>
      <c r="H1259">
        <v>15255</v>
      </c>
      <c r="I1259">
        <v>9601.11</v>
      </c>
      <c r="J1259">
        <v>0</v>
      </c>
      <c r="K1259">
        <v>5653.89</v>
      </c>
      <c r="L1259">
        <v>15255</v>
      </c>
      <c r="M1259" t="s">
        <v>62</v>
      </c>
      <c r="N1259">
        <v>12</v>
      </c>
    </row>
    <row r="1260" spans="1:14" x14ac:dyDescent="0.35">
      <c r="A1260">
        <v>101259</v>
      </c>
      <c r="B1260">
        <v>24405</v>
      </c>
      <c r="C1260" t="s">
        <v>425</v>
      </c>
      <c r="D1260" t="s">
        <v>34</v>
      </c>
      <c r="E1260" t="s">
        <v>26</v>
      </c>
      <c r="F1260" t="s">
        <v>44</v>
      </c>
      <c r="G1260" t="s">
        <v>72</v>
      </c>
      <c r="H1260">
        <v>24692</v>
      </c>
      <c r="I1260">
        <v>18063.439999999999</v>
      </c>
      <c r="J1260">
        <v>18063.439999999999</v>
      </c>
      <c r="K1260">
        <v>6628.56</v>
      </c>
      <c r="L1260">
        <v>6628.56</v>
      </c>
      <c r="M1260" t="s">
        <v>19</v>
      </c>
      <c r="N1260">
        <v>142</v>
      </c>
    </row>
    <row r="1261" spans="1:14" x14ac:dyDescent="0.35">
      <c r="A1261">
        <v>101260</v>
      </c>
      <c r="B1261">
        <v>77742</v>
      </c>
      <c r="C1261" t="s">
        <v>271</v>
      </c>
      <c r="D1261" t="s">
        <v>65</v>
      </c>
      <c r="E1261" t="s">
        <v>31</v>
      </c>
      <c r="F1261" t="s">
        <v>35</v>
      </c>
      <c r="G1261" t="s">
        <v>72</v>
      </c>
      <c r="H1261">
        <v>22803</v>
      </c>
      <c r="I1261">
        <v>14185.06</v>
      </c>
      <c r="J1261">
        <v>14185.06</v>
      </c>
      <c r="K1261">
        <v>8617.94</v>
      </c>
      <c r="L1261">
        <v>8617.94</v>
      </c>
      <c r="M1261" t="s">
        <v>19</v>
      </c>
      <c r="N1261">
        <v>19</v>
      </c>
    </row>
    <row r="1262" spans="1:14" x14ac:dyDescent="0.35">
      <c r="A1262">
        <v>101261</v>
      </c>
      <c r="B1262">
        <v>83405</v>
      </c>
      <c r="C1262" t="s">
        <v>242</v>
      </c>
      <c r="D1262" t="s">
        <v>52</v>
      </c>
      <c r="E1262" t="s">
        <v>31</v>
      </c>
      <c r="F1262" t="s">
        <v>44</v>
      </c>
      <c r="G1262" t="s">
        <v>72</v>
      </c>
      <c r="H1262">
        <v>4931</v>
      </c>
      <c r="I1262">
        <v>4312.84</v>
      </c>
      <c r="J1262">
        <v>4312.84</v>
      </c>
      <c r="K1262">
        <v>618.16</v>
      </c>
      <c r="L1262">
        <v>618.16</v>
      </c>
      <c r="M1262" t="s">
        <v>19</v>
      </c>
      <c r="N1262">
        <v>132</v>
      </c>
    </row>
    <row r="1263" spans="1:14" x14ac:dyDescent="0.35">
      <c r="A1263">
        <v>101262</v>
      </c>
      <c r="B1263">
        <v>81828</v>
      </c>
      <c r="C1263" t="s">
        <v>594</v>
      </c>
      <c r="D1263" t="s">
        <v>15</v>
      </c>
      <c r="E1263" t="s">
        <v>26</v>
      </c>
      <c r="F1263" t="s">
        <v>54</v>
      </c>
      <c r="G1263" t="s">
        <v>18</v>
      </c>
      <c r="H1263">
        <v>23436</v>
      </c>
      <c r="I1263">
        <v>18081.98</v>
      </c>
      <c r="J1263">
        <v>11922.32</v>
      </c>
      <c r="K1263">
        <v>5354.02</v>
      </c>
      <c r="L1263">
        <v>11513.68</v>
      </c>
      <c r="M1263" t="s">
        <v>39</v>
      </c>
      <c r="N1263">
        <v>103</v>
      </c>
    </row>
    <row r="1264" spans="1:14" x14ac:dyDescent="0.35">
      <c r="A1264">
        <v>101263</v>
      </c>
      <c r="B1264">
        <v>10850</v>
      </c>
      <c r="C1264" t="s">
        <v>51</v>
      </c>
      <c r="D1264" t="s">
        <v>49</v>
      </c>
      <c r="E1264" t="s">
        <v>16</v>
      </c>
      <c r="F1264" t="s">
        <v>27</v>
      </c>
      <c r="G1264" t="s">
        <v>72</v>
      </c>
      <c r="H1264">
        <v>2071</v>
      </c>
      <c r="I1264">
        <v>1299.1500000000001</v>
      </c>
      <c r="J1264">
        <v>0</v>
      </c>
      <c r="K1264">
        <v>771.85</v>
      </c>
      <c r="L1264">
        <v>2071</v>
      </c>
      <c r="M1264" t="s">
        <v>62</v>
      </c>
      <c r="N1264">
        <v>145</v>
      </c>
    </row>
    <row r="1265" spans="1:14" x14ac:dyDescent="0.35">
      <c r="A1265">
        <v>101264</v>
      </c>
      <c r="B1265">
        <v>73432</v>
      </c>
      <c r="C1265" t="s">
        <v>234</v>
      </c>
      <c r="D1265" t="s">
        <v>34</v>
      </c>
      <c r="E1265" t="s">
        <v>16</v>
      </c>
      <c r="F1265" t="s">
        <v>27</v>
      </c>
      <c r="G1265" t="s">
        <v>38</v>
      </c>
      <c r="H1265">
        <v>20750</v>
      </c>
      <c r="I1265">
        <v>15885.55</v>
      </c>
      <c r="J1265">
        <v>15885.55</v>
      </c>
      <c r="K1265">
        <v>4864.45</v>
      </c>
      <c r="L1265">
        <v>4864.45</v>
      </c>
      <c r="M1265" t="s">
        <v>19</v>
      </c>
      <c r="N1265">
        <v>139</v>
      </c>
    </row>
    <row r="1266" spans="1:14" x14ac:dyDescent="0.35">
      <c r="A1266">
        <v>101265</v>
      </c>
      <c r="B1266">
        <v>26130</v>
      </c>
      <c r="C1266" t="s">
        <v>631</v>
      </c>
      <c r="D1266" t="s">
        <v>30</v>
      </c>
      <c r="E1266" t="s">
        <v>16</v>
      </c>
      <c r="F1266" t="s">
        <v>23</v>
      </c>
      <c r="G1266" t="s">
        <v>45</v>
      </c>
      <c r="H1266">
        <v>16000</v>
      </c>
      <c r="I1266">
        <v>13084.25</v>
      </c>
      <c r="J1266">
        <v>11379.3</v>
      </c>
      <c r="K1266">
        <v>2915.75</v>
      </c>
      <c r="L1266">
        <v>4620.7</v>
      </c>
      <c r="M1266" t="s">
        <v>39</v>
      </c>
      <c r="N1266">
        <v>31</v>
      </c>
    </row>
    <row r="1267" spans="1:14" x14ac:dyDescent="0.35">
      <c r="A1267">
        <v>101266</v>
      </c>
      <c r="B1267">
        <v>66628</v>
      </c>
      <c r="C1267" t="s">
        <v>258</v>
      </c>
      <c r="D1267" t="s">
        <v>21</v>
      </c>
      <c r="E1267" t="s">
        <v>22</v>
      </c>
      <c r="F1267" t="s">
        <v>17</v>
      </c>
      <c r="G1267" t="s">
        <v>47</v>
      </c>
      <c r="H1267">
        <v>2720</v>
      </c>
      <c r="I1267">
        <v>1713.59</v>
      </c>
      <c r="J1267">
        <v>1713.59</v>
      </c>
      <c r="K1267">
        <v>1006.41</v>
      </c>
      <c r="L1267">
        <v>1006.41</v>
      </c>
      <c r="M1267" t="s">
        <v>19</v>
      </c>
      <c r="N1267">
        <v>117</v>
      </c>
    </row>
    <row r="1268" spans="1:14" x14ac:dyDescent="0.35">
      <c r="A1268">
        <v>101267</v>
      </c>
      <c r="B1268">
        <v>29903</v>
      </c>
      <c r="C1268" t="s">
        <v>595</v>
      </c>
      <c r="D1268" t="s">
        <v>30</v>
      </c>
      <c r="E1268" t="s">
        <v>16</v>
      </c>
      <c r="F1268" t="s">
        <v>61</v>
      </c>
      <c r="G1268" t="s">
        <v>72</v>
      </c>
      <c r="H1268">
        <v>21461</v>
      </c>
      <c r="I1268">
        <v>17147.759999999998</v>
      </c>
      <c r="J1268">
        <v>13022.04</v>
      </c>
      <c r="K1268">
        <v>4313.24</v>
      </c>
      <c r="L1268">
        <v>8438.9599999999991</v>
      </c>
      <c r="M1268" t="s">
        <v>39</v>
      </c>
      <c r="N1268">
        <v>27</v>
      </c>
    </row>
    <row r="1269" spans="1:14" x14ac:dyDescent="0.35">
      <c r="A1269">
        <v>101268</v>
      </c>
      <c r="B1269">
        <v>88457</v>
      </c>
      <c r="C1269" t="s">
        <v>474</v>
      </c>
      <c r="D1269" t="s">
        <v>21</v>
      </c>
      <c r="E1269" t="s">
        <v>41</v>
      </c>
      <c r="F1269" t="s">
        <v>17</v>
      </c>
      <c r="G1269" t="s">
        <v>47</v>
      </c>
      <c r="H1269">
        <v>22715</v>
      </c>
      <c r="I1269">
        <v>14848.1</v>
      </c>
      <c r="J1269">
        <v>11759.82</v>
      </c>
      <c r="K1269">
        <v>7866.9</v>
      </c>
      <c r="L1269">
        <v>10955.18</v>
      </c>
      <c r="M1269" t="s">
        <v>39</v>
      </c>
      <c r="N1269">
        <v>48</v>
      </c>
    </row>
    <row r="1270" spans="1:14" x14ac:dyDescent="0.35">
      <c r="A1270">
        <v>101269</v>
      </c>
      <c r="B1270">
        <v>82022</v>
      </c>
      <c r="C1270" t="s">
        <v>489</v>
      </c>
      <c r="D1270" t="s">
        <v>34</v>
      </c>
      <c r="E1270" t="s">
        <v>31</v>
      </c>
      <c r="F1270" t="s">
        <v>44</v>
      </c>
      <c r="G1270" t="s">
        <v>24</v>
      </c>
      <c r="H1270">
        <v>746</v>
      </c>
      <c r="I1270">
        <v>446.95</v>
      </c>
      <c r="J1270">
        <v>446.95</v>
      </c>
      <c r="K1270">
        <v>299.05</v>
      </c>
      <c r="L1270">
        <v>299.05</v>
      </c>
      <c r="M1270" t="s">
        <v>19</v>
      </c>
      <c r="N1270">
        <v>164</v>
      </c>
    </row>
    <row r="1271" spans="1:14" x14ac:dyDescent="0.35">
      <c r="A1271">
        <v>101270</v>
      </c>
      <c r="B1271">
        <v>76481</v>
      </c>
      <c r="C1271" t="s">
        <v>611</v>
      </c>
      <c r="D1271" t="s">
        <v>15</v>
      </c>
      <c r="E1271" t="s">
        <v>37</v>
      </c>
      <c r="F1271" t="s">
        <v>27</v>
      </c>
      <c r="G1271" t="s">
        <v>18</v>
      </c>
      <c r="H1271">
        <v>9704</v>
      </c>
      <c r="I1271">
        <v>8916.1299999999992</v>
      </c>
      <c r="J1271">
        <v>8916.1299999999992</v>
      </c>
      <c r="K1271">
        <v>787.87</v>
      </c>
      <c r="L1271">
        <v>787.87</v>
      </c>
      <c r="M1271" t="s">
        <v>19</v>
      </c>
      <c r="N1271">
        <v>72</v>
      </c>
    </row>
    <row r="1272" spans="1:14" x14ac:dyDescent="0.35">
      <c r="A1272">
        <v>101271</v>
      </c>
      <c r="B1272">
        <v>50325</v>
      </c>
      <c r="C1272" t="s">
        <v>632</v>
      </c>
      <c r="D1272" t="s">
        <v>65</v>
      </c>
      <c r="E1272" t="s">
        <v>37</v>
      </c>
      <c r="F1272" t="s">
        <v>17</v>
      </c>
      <c r="G1272" t="s">
        <v>38</v>
      </c>
      <c r="H1272">
        <v>7485</v>
      </c>
      <c r="I1272">
        <v>4159.6499999999996</v>
      </c>
      <c r="J1272">
        <v>3625.01</v>
      </c>
      <c r="K1272">
        <v>3325.35</v>
      </c>
      <c r="L1272">
        <v>3859.99</v>
      </c>
      <c r="M1272" t="s">
        <v>39</v>
      </c>
      <c r="N1272">
        <v>36</v>
      </c>
    </row>
    <row r="1273" spans="1:14" x14ac:dyDescent="0.35">
      <c r="A1273">
        <v>101272</v>
      </c>
      <c r="B1273">
        <v>60551</v>
      </c>
      <c r="C1273" t="s">
        <v>633</v>
      </c>
      <c r="D1273" t="s">
        <v>15</v>
      </c>
      <c r="E1273" t="s">
        <v>56</v>
      </c>
      <c r="F1273" t="s">
        <v>32</v>
      </c>
      <c r="G1273" t="s">
        <v>28</v>
      </c>
      <c r="H1273">
        <v>22245</v>
      </c>
      <c r="I1273">
        <v>17825.05</v>
      </c>
      <c r="J1273">
        <v>17825.05</v>
      </c>
      <c r="K1273">
        <v>4419.95</v>
      </c>
      <c r="L1273">
        <v>4419.95</v>
      </c>
      <c r="M1273" t="s">
        <v>19</v>
      </c>
      <c r="N1273">
        <v>23</v>
      </c>
    </row>
    <row r="1274" spans="1:14" x14ac:dyDescent="0.35">
      <c r="A1274">
        <v>101273</v>
      </c>
      <c r="B1274">
        <v>64214</v>
      </c>
      <c r="C1274" t="s">
        <v>518</v>
      </c>
      <c r="D1274" t="s">
        <v>65</v>
      </c>
      <c r="E1274" t="s">
        <v>43</v>
      </c>
      <c r="F1274" t="s">
        <v>32</v>
      </c>
      <c r="G1274" t="s">
        <v>38</v>
      </c>
      <c r="H1274">
        <v>18342</v>
      </c>
      <c r="I1274">
        <v>12933.93</v>
      </c>
      <c r="J1274">
        <v>8202.7800000000007</v>
      </c>
      <c r="K1274">
        <v>5408.07</v>
      </c>
      <c r="L1274">
        <v>10139.219999999999</v>
      </c>
      <c r="M1274" t="s">
        <v>39</v>
      </c>
      <c r="N1274">
        <v>23</v>
      </c>
    </row>
    <row r="1275" spans="1:14" x14ac:dyDescent="0.35">
      <c r="A1275">
        <v>101274</v>
      </c>
      <c r="B1275">
        <v>47150</v>
      </c>
      <c r="C1275" t="s">
        <v>634</v>
      </c>
      <c r="D1275" t="s">
        <v>52</v>
      </c>
      <c r="E1275" t="s">
        <v>31</v>
      </c>
      <c r="F1275" t="s">
        <v>54</v>
      </c>
      <c r="G1275" t="s">
        <v>47</v>
      </c>
      <c r="H1275">
        <v>14616</v>
      </c>
      <c r="I1275">
        <v>8513.2099999999991</v>
      </c>
      <c r="J1275">
        <v>8513.2099999999991</v>
      </c>
      <c r="K1275">
        <v>6102.79</v>
      </c>
      <c r="L1275">
        <v>6102.79</v>
      </c>
      <c r="M1275" t="s">
        <v>19</v>
      </c>
      <c r="N1275">
        <v>33</v>
      </c>
    </row>
    <row r="1276" spans="1:14" x14ac:dyDescent="0.35">
      <c r="A1276">
        <v>101275</v>
      </c>
      <c r="B1276">
        <v>84629</v>
      </c>
      <c r="C1276" t="s">
        <v>231</v>
      </c>
      <c r="D1276" t="s">
        <v>34</v>
      </c>
      <c r="E1276" t="s">
        <v>37</v>
      </c>
      <c r="F1276" t="s">
        <v>32</v>
      </c>
      <c r="G1276" t="s">
        <v>45</v>
      </c>
      <c r="H1276">
        <v>10606</v>
      </c>
      <c r="I1276">
        <v>6081.23</v>
      </c>
      <c r="J1276">
        <v>615.16</v>
      </c>
      <c r="K1276">
        <v>4524.7700000000004</v>
      </c>
      <c r="L1276">
        <v>9990.84</v>
      </c>
      <c r="M1276" t="s">
        <v>50</v>
      </c>
      <c r="N1276">
        <v>44</v>
      </c>
    </row>
    <row r="1277" spans="1:14" x14ac:dyDescent="0.35">
      <c r="A1277">
        <v>101276</v>
      </c>
      <c r="B1277">
        <v>26700</v>
      </c>
      <c r="C1277" t="s">
        <v>466</v>
      </c>
      <c r="D1277" t="s">
        <v>15</v>
      </c>
      <c r="E1277" t="s">
        <v>16</v>
      </c>
      <c r="F1277" t="s">
        <v>54</v>
      </c>
      <c r="G1277" t="s">
        <v>47</v>
      </c>
      <c r="H1277">
        <v>10921</v>
      </c>
      <c r="I1277">
        <v>9480.8799999999992</v>
      </c>
      <c r="J1277">
        <v>7289.84</v>
      </c>
      <c r="K1277">
        <v>1440.12</v>
      </c>
      <c r="L1277">
        <v>3631.16</v>
      </c>
      <c r="M1277" t="s">
        <v>39</v>
      </c>
      <c r="N1277">
        <v>21</v>
      </c>
    </row>
    <row r="1278" spans="1:14" x14ac:dyDescent="0.35">
      <c r="A1278">
        <v>101277</v>
      </c>
      <c r="B1278">
        <v>77193</v>
      </c>
      <c r="C1278" t="s">
        <v>127</v>
      </c>
      <c r="D1278" t="s">
        <v>30</v>
      </c>
      <c r="E1278" t="s">
        <v>22</v>
      </c>
      <c r="F1278" t="s">
        <v>23</v>
      </c>
      <c r="G1278" t="s">
        <v>45</v>
      </c>
      <c r="H1278">
        <v>22225</v>
      </c>
      <c r="I1278">
        <v>20463.7</v>
      </c>
      <c r="J1278">
        <v>20463.7</v>
      </c>
      <c r="K1278">
        <v>1761.3</v>
      </c>
      <c r="L1278">
        <v>1761.3</v>
      </c>
      <c r="M1278" t="s">
        <v>19</v>
      </c>
      <c r="N1278">
        <v>133</v>
      </c>
    </row>
    <row r="1279" spans="1:14" x14ac:dyDescent="0.35">
      <c r="A1279">
        <v>101278</v>
      </c>
      <c r="B1279">
        <v>14856</v>
      </c>
      <c r="C1279" t="s">
        <v>484</v>
      </c>
      <c r="D1279" t="s">
        <v>15</v>
      </c>
      <c r="E1279" t="s">
        <v>41</v>
      </c>
      <c r="F1279" t="s">
        <v>23</v>
      </c>
      <c r="G1279" t="s">
        <v>72</v>
      </c>
      <c r="H1279">
        <v>17613</v>
      </c>
      <c r="I1279">
        <v>11954.09</v>
      </c>
      <c r="J1279">
        <v>7512.41</v>
      </c>
      <c r="K1279">
        <v>5658.91</v>
      </c>
      <c r="L1279">
        <v>10100.59</v>
      </c>
      <c r="M1279" t="s">
        <v>39</v>
      </c>
      <c r="N1279">
        <v>121</v>
      </c>
    </row>
    <row r="1280" spans="1:14" x14ac:dyDescent="0.35">
      <c r="A1280">
        <v>101279</v>
      </c>
      <c r="B1280">
        <v>15910</v>
      </c>
      <c r="C1280" t="s">
        <v>635</v>
      </c>
      <c r="D1280" t="s">
        <v>30</v>
      </c>
      <c r="E1280" t="s">
        <v>56</v>
      </c>
      <c r="F1280" t="s">
        <v>44</v>
      </c>
      <c r="G1280" t="s">
        <v>45</v>
      </c>
      <c r="H1280">
        <v>1088</v>
      </c>
      <c r="I1280">
        <v>725.98</v>
      </c>
      <c r="J1280">
        <v>725.98</v>
      </c>
      <c r="K1280">
        <v>362.02</v>
      </c>
      <c r="L1280">
        <v>362.02</v>
      </c>
      <c r="M1280" t="s">
        <v>19</v>
      </c>
      <c r="N1280">
        <v>168</v>
      </c>
    </row>
    <row r="1281" spans="1:14" x14ac:dyDescent="0.35">
      <c r="A1281">
        <v>101280</v>
      </c>
      <c r="B1281">
        <v>41282</v>
      </c>
      <c r="C1281" t="s">
        <v>303</v>
      </c>
      <c r="D1281" t="s">
        <v>15</v>
      </c>
      <c r="E1281" t="s">
        <v>22</v>
      </c>
      <c r="F1281" t="s">
        <v>61</v>
      </c>
      <c r="G1281" t="s">
        <v>38</v>
      </c>
      <c r="H1281">
        <v>19699</v>
      </c>
      <c r="I1281">
        <v>10945.92</v>
      </c>
      <c r="J1281">
        <v>8991.7199999999993</v>
      </c>
      <c r="K1281">
        <v>8753.08</v>
      </c>
      <c r="L1281">
        <v>10707.28</v>
      </c>
      <c r="M1281" t="s">
        <v>39</v>
      </c>
      <c r="N1281">
        <v>1</v>
      </c>
    </row>
    <row r="1282" spans="1:14" x14ac:dyDescent="0.35">
      <c r="A1282">
        <v>101281</v>
      </c>
      <c r="B1282">
        <v>27305</v>
      </c>
      <c r="C1282" t="s">
        <v>491</v>
      </c>
      <c r="D1282" t="s">
        <v>34</v>
      </c>
      <c r="E1282" t="s">
        <v>43</v>
      </c>
      <c r="F1282" t="s">
        <v>17</v>
      </c>
      <c r="G1282" t="s">
        <v>47</v>
      </c>
      <c r="H1282">
        <v>22268</v>
      </c>
      <c r="I1282">
        <v>15700.7</v>
      </c>
      <c r="J1282">
        <v>0</v>
      </c>
      <c r="K1282">
        <v>6567.3</v>
      </c>
      <c r="L1282">
        <v>22268</v>
      </c>
      <c r="M1282" t="s">
        <v>62</v>
      </c>
      <c r="N1282">
        <v>105</v>
      </c>
    </row>
    <row r="1283" spans="1:14" x14ac:dyDescent="0.35">
      <c r="A1283">
        <v>101282</v>
      </c>
      <c r="B1283">
        <v>59272</v>
      </c>
      <c r="C1283" t="s">
        <v>289</v>
      </c>
      <c r="D1283" t="s">
        <v>52</v>
      </c>
      <c r="E1283" t="s">
        <v>41</v>
      </c>
      <c r="F1283" t="s">
        <v>17</v>
      </c>
      <c r="G1283" t="s">
        <v>28</v>
      </c>
      <c r="H1283">
        <v>22856</v>
      </c>
      <c r="I1283">
        <v>15118.21</v>
      </c>
      <c r="J1283">
        <v>15118.21</v>
      </c>
      <c r="K1283">
        <v>7737.79</v>
      </c>
      <c r="L1283">
        <v>7737.79</v>
      </c>
      <c r="M1283" t="s">
        <v>19</v>
      </c>
      <c r="N1283">
        <v>22</v>
      </c>
    </row>
    <row r="1284" spans="1:14" x14ac:dyDescent="0.35">
      <c r="A1284">
        <v>101283</v>
      </c>
      <c r="B1284">
        <v>88524</v>
      </c>
      <c r="C1284" t="s">
        <v>525</v>
      </c>
      <c r="D1284" t="s">
        <v>65</v>
      </c>
      <c r="E1284" t="s">
        <v>37</v>
      </c>
      <c r="F1284" t="s">
        <v>23</v>
      </c>
      <c r="G1284" t="s">
        <v>24</v>
      </c>
      <c r="H1284">
        <v>514</v>
      </c>
      <c r="I1284">
        <v>457.07</v>
      </c>
      <c r="J1284">
        <v>457.07</v>
      </c>
      <c r="K1284">
        <v>56.93</v>
      </c>
      <c r="L1284">
        <v>56.93</v>
      </c>
      <c r="M1284" t="s">
        <v>19</v>
      </c>
      <c r="N1284">
        <v>135</v>
      </c>
    </row>
    <row r="1285" spans="1:14" x14ac:dyDescent="0.35">
      <c r="A1285">
        <v>101284</v>
      </c>
      <c r="B1285">
        <v>31641</v>
      </c>
      <c r="C1285" t="s">
        <v>636</v>
      </c>
      <c r="D1285" t="s">
        <v>30</v>
      </c>
      <c r="E1285" t="s">
        <v>22</v>
      </c>
      <c r="F1285" t="s">
        <v>27</v>
      </c>
      <c r="G1285" t="s">
        <v>47</v>
      </c>
      <c r="H1285">
        <v>13501</v>
      </c>
      <c r="I1285">
        <v>10690.95</v>
      </c>
      <c r="J1285">
        <v>10690.95</v>
      </c>
      <c r="K1285">
        <v>2810.05</v>
      </c>
      <c r="L1285">
        <v>2810.05</v>
      </c>
      <c r="M1285" t="s">
        <v>19</v>
      </c>
      <c r="N1285">
        <v>155</v>
      </c>
    </row>
    <row r="1286" spans="1:14" x14ac:dyDescent="0.35">
      <c r="A1286">
        <v>101285</v>
      </c>
      <c r="B1286">
        <v>22089</v>
      </c>
      <c r="C1286" t="s">
        <v>248</v>
      </c>
      <c r="D1286" t="s">
        <v>49</v>
      </c>
      <c r="E1286" t="s">
        <v>31</v>
      </c>
      <c r="F1286" t="s">
        <v>17</v>
      </c>
      <c r="G1286" t="s">
        <v>47</v>
      </c>
      <c r="H1286">
        <v>5369</v>
      </c>
      <c r="I1286">
        <v>4022.32</v>
      </c>
      <c r="J1286">
        <v>1077.76</v>
      </c>
      <c r="K1286">
        <v>1346.68</v>
      </c>
      <c r="L1286">
        <v>4291.24</v>
      </c>
      <c r="M1286" t="s">
        <v>50</v>
      </c>
      <c r="N1286">
        <v>62</v>
      </c>
    </row>
    <row r="1287" spans="1:14" x14ac:dyDescent="0.35">
      <c r="A1287">
        <v>101286</v>
      </c>
      <c r="B1287">
        <v>64030</v>
      </c>
      <c r="C1287" t="s">
        <v>493</v>
      </c>
      <c r="D1287" t="s">
        <v>52</v>
      </c>
      <c r="E1287" t="s">
        <v>26</v>
      </c>
      <c r="F1287" t="s">
        <v>27</v>
      </c>
      <c r="G1287" t="s">
        <v>47</v>
      </c>
      <c r="H1287">
        <v>16318</v>
      </c>
      <c r="I1287">
        <v>9010.2099999999991</v>
      </c>
      <c r="J1287">
        <v>0</v>
      </c>
      <c r="K1287">
        <v>7307.79</v>
      </c>
      <c r="L1287">
        <v>16318</v>
      </c>
      <c r="M1287" t="s">
        <v>62</v>
      </c>
      <c r="N1287">
        <v>49</v>
      </c>
    </row>
    <row r="1288" spans="1:14" x14ac:dyDescent="0.35">
      <c r="A1288">
        <v>101287</v>
      </c>
      <c r="B1288">
        <v>84045</v>
      </c>
      <c r="C1288" t="s">
        <v>412</v>
      </c>
      <c r="D1288" t="s">
        <v>30</v>
      </c>
      <c r="E1288" t="s">
        <v>37</v>
      </c>
      <c r="F1288" t="s">
        <v>61</v>
      </c>
      <c r="G1288" t="s">
        <v>28</v>
      </c>
      <c r="H1288">
        <v>19350</v>
      </c>
      <c r="I1288">
        <v>16490.689999999999</v>
      </c>
      <c r="J1288">
        <v>16490.689999999999</v>
      </c>
      <c r="K1288">
        <v>2859.31</v>
      </c>
      <c r="L1288">
        <v>2859.31</v>
      </c>
      <c r="M1288" t="s">
        <v>19</v>
      </c>
      <c r="N1288">
        <v>151</v>
      </c>
    </row>
    <row r="1289" spans="1:14" x14ac:dyDescent="0.35">
      <c r="A1289">
        <v>101288</v>
      </c>
      <c r="B1289">
        <v>33350</v>
      </c>
      <c r="C1289" t="s">
        <v>637</v>
      </c>
      <c r="D1289" t="s">
        <v>21</v>
      </c>
      <c r="E1289" t="s">
        <v>56</v>
      </c>
      <c r="F1289" t="s">
        <v>61</v>
      </c>
      <c r="G1289" t="s">
        <v>45</v>
      </c>
      <c r="H1289">
        <v>9353</v>
      </c>
      <c r="I1289">
        <v>6092.53</v>
      </c>
      <c r="J1289">
        <v>0</v>
      </c>
      <c r="K1289">
        <v>3260.47</v>
      </c>
      <c r="L1289">
        <v>9353</v>
      </c>
      <c r="M1289" t="s">
        <v>62</v>
      </c>
      <c r="N1289">
        <v>86</v>
      </c>
    </row>
    <row r="1290" spans="1:14" x14ac:dyDescent="0.35">
      <c r="A1290">
        <v>101289</v>
      </c>
      <c r="B1290">
        <v>23282</v>
      </c>
      <c r="C1290" t="s">
        <v>106</v>
      </c>
      <c r="D1290" t="s">
        <v>30</v>
      </c>
      <c r="E1290" t="s">
        <v>31</v>
      </c>
      <c r="F1290" t="s">
        <v>17</v>
      </c>
      <c r="G1290" t="s">
        <v>45</v>
      </c>
      <c r="H1290">
        <v>6915</v>
      </c>
      <c r="I1290">
        <v>5206.42</v>
      </c>
      <c r="J1290">
        <v>0</v>
      </c>
      <c r="K1290">
        <v>1708.58</v>
      </c>
      <c r="L1290">
        <v>6915</v>
      </c>
      <c r="M1290" t="s">
        <v>62</v>
      </c>
      <c r="N1290">
        <v>80</v>
      </c>
    </row>
    <row r="1291" spans="1:14" x14ac:dyDescent="0.35">
      <c r="A1291">
        <v>101290</v>
      </c>
      <c r="B1291">
        <v>88581</v>
      </c>
      <c r="C1291" t="s">
        <v>92</v>
      </c>
      <c r="D1291" t="s">
        <v>30</v>
      </c>
      <c r="E1291" t="s">
        <v>37</v>
      </c>
      <c r="F1291" t="s">
        <v>17</v>
      </c>
      <c r="G1291" t="s">
        <v>24</v>
      </c>
      <c r="H1291">
        <v>11093</v>
      </c>
      <c r="I1291">
        <v>9155.11</v>
      </c>
      <c r="J1291">
        <v>4107.38</v>
      </c>
      <c r="K1291">
        <v>1937.89</v>
      </c>
      <c r="L1291">
        <v>6985.62</v>
      </c>
      <c r="M1291" t="s">
        <v>39</v>
      </c>
      <c r="N1291">
        <v>167</v>
      </c>
    </row>
    <row r="1292" spans="1:14" x14ac:dyDescent="0.35">
      <c r="A1292">
        <v>101291</v>
      </c>
      <c r="B1292">
        <v>79702</v>
      </c>
      <c r="C1292" t="s">
        <v>638</v>
      </c>
      <c r="D1292" t="s">
        <v>34</v>
      </c>
      <c r="E1292" t="s">
        <v>43</v>
      </c>
      <c r="F1292" t="s">
        <v>54</v>
      </c>
      <c r="G1292" t="s">
        <v>72</v>
      </c>
      <c r="H1292">
        <v>6222</v>
      </c>
      <c r="I1292">
        <v>5281.93</v>
      </c>
      <c r="J1292">
        <v>5281.93</v>
      </c>
      <c r="K1292">
        <v>940.07</v>
      </c>
      <c r="L1292">
        <v>940.07</v>
      </c>
      <c r="M1292" t="s">
        <v>19</v>
      </c>
      <c r="N1292">
        <v>22</v>
      </c>
    </row>
    <row r="1293" spans="1:14" x14ac:dyDescent="0.35">
      <c r="A1293">
        <v>101292</v>
      </c>
      <c r="B1293">
        <v>96682</v>
      </c>
      <c r="C1293" t="s">
        <v>483</v>
      </c>
      <c r="D1293" t="s">
        <v>34</v>
      </c>
      <c r="E1293" t="s">
        <v>37</v>
      </c>
      <c r="F1293" t="s">
        <v>61</v>
      </c>
      <c r="G1293" t="s">
        <v>18</v>
      </c>
      <c r="H1293">
        <v>18268</v>
      </c>
      <c r="I1293">
        <v>10985.78</v>
      </c>
      <c r="J1293">
        <v>690.72</v>
      </c>
      <c r="K1293">
        <v>7282.22</v>
      </c>
      <c r="L1293">
        <v>17577.28</v>
      </c>
      <c r="M1293" t="s">
        <v>50</v>
      </c>
      <c r="N1293">
        <v>40</v>
      </c>
    </row>
    <row r="1294" spans="1:14" x14ac:dyDescent="0.35">
      <c r="A1294">
        <v>101293</v>
      </c>
      <c r="B1294">
        <v>37351</v>
      </c>
      <c r="C1294" t="s">
        <v>516</v>
      </c>
      <c r="D1294" t="s">
        <v>52</v>
      </c>
      <c r="E1294" t="s">
        <v>22</v>
      </c>
      <c r="F1294" t="s">
        <v>61</v>
      </c>
      <c r="G1294" t="s">
        <v>18</v>
      </c>
      <c r="H1294">
        <v>12737</v>
      </c>
      <c r="I1294">
        <v>10784.45</v>
      </c>
      <c r="J1294">
        <v>10784.45</v>
      </c>
      <c r="K1294">
        <v>1952.55</v>
      </c>
      <c r="L1294">
        <v>1952.55</v>
      </c>
      <c r="M1294" t="s">
        <v>19</v>
      </c>
      <c r="N1294">
        <v>41</v>
      </c>
    </row>
    <row r="1295" spans="1:14" x14ac:dyDescent="0.35">
      <c r="A1295">
        <v>101294</v>
      </c>
      <c r="B1295">
        <v>87161</v>
      </c>
      <c r="C1295" t="s">
        <v>639</v>
      </c>
      <c r="D1295" t="s">
        <v>21</v>
      </c>
      <c r="E1295" t="s">
        <v>41</v>
      </c>
      <c r="F1295" t="s">
        <v>44</v>
      </c>
      <c r="G1295" t="s">
        <v>24</v>
      </c>
      <c r="H1295">
        <v>8724</v>
      </c>
      <c r="I1295">
        <v>7557.82</v>
      </c>
      <c r="J1295">
        <v>7557.82</v>
      </c>
      <c r="K1295">
        <v>1166.18</v>
      </c>
      <c r="L1295">
        <v>1166.18</v>
      </c>
      <c r="M1295" t="s">
        <v>19</v>
      </c>
      <c r="N1295">
        <v>39</v>
      </c>
    </row>
    <row r="1296" spans="1:14" x14ac:dyDescent="0.35">
      <c r="A1296">
        <v>101295</v>
      </c>
      <c r="B1296">
        <v>75468</v>
      </c>
      <c r="C1296" t="s">
        <v>372</v>
      </c>
      <c r="D1296" t="s">
        <v>30</v>
      </c>
      <c r="E1296" t="s">
        <v>31</v>
      </c>
      <c r="F1296" t="s">
        <v>44</v>
      </c>
      <c r="G1296" t="s">
        <v>38</v>
      </c>
      <c r="H1296">
        <v>6392</v>
      </c>
      <c r="I1296">
        <v>4233.13</v>
      </c>
      <c r="J1296">
        <v>4233.13</v>
      </c>
      <c r="K1296">
        <v>2158.87</v>
      </c>
      <c r="L1296">
        <v>2158.87</v>
      </c>
      <c r="M1296" t="s">
        <v>19</v>
      </c>
      <c r="N1296">
        <v>93</v>
      </c>
    </row>
    <row r="1297" spans="1:14" x14ac:dyDescent="0.35">
      <c r="A1297">
        <v>101296</v>
      </c>
      <c r="B1297">
        <v>62940</v>
      </c>
      <c r="C1297" t="s">
        <v>640</v>
      </c>
      <c r="D1297" t="s">
        <v>15</v>
      </c>
      <c r="E1297" t="s">
        <v>22</v>
      </c>
      <c r="F1297" t="s">
        <v>44</v>
      </c>
      <c r="G1297" t="s">
        <v>45</v>
      </c>
      <c r="H1297">
        <v>3335</v>
      </c>
      <c r="I1297">
        <v>2129.5</v>
      </c>
      <c r="J1297">
        <v>1048.94</v>
      </c>
      <c r="K1297">
        <v>1205.5</v>
      </c>
      <c r="L1297">
        <v>2286.06</v>
      </c>
      <c r="M1297" t="s">
        <v>39</v>
      </c>
      <c r="N1297">
        <v>125</v>
      </c>
    </row>
    <row r="1298" spans="1:14" x14ac:dyDescent="0.35">
      <c r="A1298">
        <v>101297</v>
      </c>
      <c r="B1298">
        <v>88279</v>
      </c>
      <c r="C1298" t="s">
        <v>641</v>
      </c>
      <c r="D1298" t="s">
        <v>65</v>
      </c>
      <c r="E1298" t="s">
        <v>26</v>
      </c>
      <c r="F1298" t="s">
        <v>44</v>
      </c>
      <c r="G1298" t="s">
        <v>18</v>
      </c>
      <c r="H1298">
        <v>9110</v>
      </c>
      <c r="I1298">
        <v>5924.8</v>
      </c>
      <c r="J1298">
        <v>5924.8</v>
      </c>
      <c r="K1298">
        <v>3185.2</v>
      </c>
      <c r="L1298">
        <v>3185.2</v>
      </c>
      <c r="M1298" t="s">
        <v>19</v>
      </c>
      <c r="N1298">
        <v>31</v>
      </c>
    </row>
    <row r="1299" spans="1:14" x14ac:dyDescent="0.35">
      <c r="A1299">
        <v>101298</v>
      </c>
      <c r="B1299">
        <v>28103</v>
      </c>
      <c r="C1299" t="s">
        <v>642</v>
      </c>
      <c r="D1299" t="s">
        <v>21</v>
      </c>
      <c r="E1299" t="s">
        <v>22</v>
      </c>
      <c r="F1299" t="s">
        <v>35</v>
      </c>
      <c r="G1299" t="s">
        <v>18</v>
      </c>
      <c r="H1299">
        <v>21159</v>
      </c>
      <c r="I1299">
        <v>12812.96</v>
      </c>
      <c r="J1299">
        <v>12812.96</v>
      </c>
      <c r="K1299">
        <v>8346.0400000000009</v>
      </c>
      <c r="L1299">
        <v>8346.0400000000009</v>
      </c>
      <c r="M1299" t="s">
        <v>19</v>
      </c>
      <c r="N1299">
        <v>71</v>
      </c>
    </row>
    <row r="1300" spans="1:14" x14ac:dyDescent="0.35">
      <c r="A1300">
        <v>101299</v>
      </c>
      <c r="B1300">
        <v>55307</v>
      </c>
      <c r="C1300" t="s">
        <v>209</v>
      </c>
      <c r="D1300" t="s">
        <v>30</v>
      </c>
      <c r="E1300" t="s">
        <v>31</v>
      </c>
      <c r="F1300" t="s">
        <v>61</v>
      </c>
      <c r="G1300" t="s">
        <v>24</v>
      </c>
      <c r="H1300">
        <v>11113</v>
      </c>
      <c r="I1300">
        <v>7433.54</v>
      </c>
      <c r="J1300">
        <v>0</v>
      </c>
      <c r="K1300">
        <v>3679.46</v>
      </c>
      <c r="L1300">
        <v>11113</v>
      </c>
      <c r="M1300" t="s">
        <v>62</v>
      </c>
      <c r="N1300">
        <v>55</v>
      </c>
    </row>
    <row r="1301" spans="1:14" x14ac:dyDescent="0.35">
      <c r="A1301">
        <v>101300</v>
      </c>
      <c r="B1301">
        <v>42976</v>
      </c>
      <c r="C1301" t="s">
        <v>482</v>
      </c>
      <c r="D1301" t="s">
        <v>49</v>
      </c>
      <c r="E1301" t="s">
        <v>31</v>
      </c>
      <c r="F1301" t="s">
        <v>61</v>
      </c>
      <c r="G1301" t="s">
        <v>72</v>
      </c>
      <c r="H1301">
        <v>22101</v>
      </c>
      <c r="I1301">
        <v>17028.93</v>
      </c>
      <c r="J1301">
        <v>17028.93</v>
      </c>
      <c r="K1301">
        <v>5072.07</v>
      </c>
      <c r="L1301">
        <v>5072.07</v>
      </c>
      <c r="M1301" t="s">
        <v>19</v>
      </c>
      <c r="N1301">
        <v>48</v>
      </c>
    </row>
    <row r="1302" spans="1:14" x14ac:dyDescent="0.35">
      <c r="A1302">
        <v>101301</v>
      </c>
      <c r="B1302">
        <v>41646</v>
      </c>
      <c r="C1302" t="s">
        <v>643</v>
      </c>
      <c r="D1302" t="s">
        <v>49</v>
      </c>
      <c r="E1302" t="s">
        <v>26</v>
      </c>
      <c r="F1302" t="s">
        <v>35</v>
      </c>
      <c r="G1302" t="s">
        <v>28</v>
      </c>
      <c r="H1302">
        <v>16590</v>
      </c>
      <c r="I1302">
        <v>15111.86</v>
      </c>
      <c r="J1302">
        <v>15111.86</v>
      </c>
      <c r="K1302">
        <v>1478.14</v>
      </c>
      <c r="L1302">
        <v>1478.14</v>
      </c>
      <c r="M1302" t="s">
        <v>19</v>
      </c>
      <c r="N1302">
        <v>107</v>
      </c>
    </row>
    <row r="1303" spans="1:14" x14ac:dyDescent="0.35">
      <c r="A1303">
        <v>101302</v>
      </c>
      <c r="B1303">
        <v>63704</v>
      </c>
      <c r="C1303" t="s">
        <v>441</v>
      </c>
      <c r="D1303" t="s">
        <v>34</v>
      </c>
      <c r="E1303" t="s">
        <v>56</v>
      </c>
      <c r="F1303" t="s">
        <v>61</v>
      </c>
      <c r="G1303" t="s">
        <v>18</v>
      </c>
      <c r="H1303">
        <v>1057</v>
      </c>
      <c r="I1303">
        <v>941.79</v>
      </c>
      <c r="J1303">
        <v>575.54999999999995</v>
      </c>
      <c r="K1303">
        <v>115.21</v>
      </c>
      <c r="L1303">
        <v>481.45</v>
      </c>
      <c r="M1303" t="s">
        <v>39</v>
      </c>
      <c r="N1303">
        <v>118</v>
      </c>
    </row>
    <row r="1304" spans="1:14" x14ac:dyDescent="0.35">
      <c r="A1304">
        <v>101303</v>
      </c>
      <c r="B1304">
        <v>35412</v>
      </c>
      <c r="C1304" t="s">
        <v>394</v>
      </c>
      <c r="D1304" t="s">
        <v>52</v>
      </c>
      <c r="E1304" t="s">
        <v>26</v>
      </c>
      <c r="F1304" t="s">
        <v>35</v>
      </c>
      <c r="G1304" t="s">
        <v>24</v>
      </c>
      <c r="H1304">
        <v>5791</v>
      </c>
      <c r="I1304">
        <v>3938.72</v>
      </c>
      <c r="J1304">
        <v>3938.72</v>
      </c>
      <c r="K1304">
        <v>1852.28</v>
      </c>
      <c r="L1304">
        <v>1852.28</v>
      </c>
      <c r="M1304" t="s">
        <v>19</v>
      </c>
      <c r="N1304">
        <v>38</v>
      </c>
    </row>
    <row r="1305" spans="1:14" x14ac:dyDescent="0.35">
      <c r="A1305">
        <v>101304</v>
      </c>
      <c r="B1305">
        <v>49837</v>
      </c>
      <c r="C1305" t="s">
        <v>553</v>
      </c>
      <c r="D1305" t="s">
        <v>65</v>
      </c>
      <c r="E1305" t="s">
        <v>22</v>
      </c>
      <c r="F1305" t="s">
        <v>54</v>
      </c>
      <c r="G1305" t="s">
        <v>47</v>
      </c>
      <c r="H1305">
        <v>17078</v>
      </c>
      <c r="I1305">
        <v>15587.63</v>
      </c>
      <c r="J1305">
        <v>15587.63</v>
      </c>
      <c r="K1305">
        <v>1490.37</v>
      </c>
      <c r="L1305">
        <v>1490.37</v>
      </c>
      <c r="M1305" t="s">
        <v>19</v>
      </c>
      <c r="N1305">
        <v>154</v>
      </c>
    </row>
    <row r="1306" spans="1:14" x14ac:dyDescent="0.35">
      <c r="A1306">
        <v>101305</v>
      </c>
      <c r="B1306">
        <v>69888</v>
      </c>
      <c r="C1306" t="s">
        <v>643</v>
      </c>
      <c r="D1306" t="s">
        <v>52</v>
      </c>
      <c r="E1306" t="s">
        <v>41</v>
      </c>
      <c r="F1306" t="s">
        <v>61</v>
      </c>
      <c r="G1306" t="s">
        <v>28</v>
      </c>
      <c r="H1306">
        <v>9915</v>
      </c>
      <c r="I1306">
        <v>8999.5400000000009</v>
      </c>
      <c r="J1306">
        <v>1138.25</v>
      </c>
      <c r="K1306">
        <v>915.46</v>
      </c>
      <c r="L1306">
        <v>8776.75</v>
      </c>
      <c r="M1306" t="s">
        <v>50</v>
      </c>
      <c r="N1306">
        <v>17</v>
      </c>
    </row>
    <row r="1307" spans="1:14" x14ac:dyDescent="0.35">
      <c r="A1307">
        <v>101306</v>
      </c>
      <c r="B1307">
        <v>40783</v>
      </c>
      <c r="C1307" t="s">
        <v>197</v>
      </c>
      <c r="D1307" t="s">
        <v>52</v>
      </c>
      <c r="E1307" t="s">
        <v>26</v>
      </c>
      <c r="F1307" t="s">
        <v>61</v>
      </c>
      <c r="G1307" t="s">
        <v>38</v>
      </c>
      <c r="H1307">
        <v>8881</v>
      </c>
      <c r="I1307">
        <v>5256.49</v>
      </c>
      <c r="J1307">
        <v>3762.49</v>
      </c>
      <c r="K1307">
        <v>3624.51</v>
      </c>
      <c r="L1307">
        <v>5118.51</v>
      </c>
      <c r="M1307" t="s">
        <v>39</v>
      </c>
      <c r="N1307">
        <v>111</v>
      </c>
    </row>
    <row r="1308" spans="1:14" x14ac:dyDescent="0.35">
      <c r="A1308">
        <v>101307</v>
      </c>
      <c r="B1308">
        <v>90598</v>
      </c>
      <c r="C1308" t="s">
        <v>635</v>
      </c>
      <c r="D1308" t="s">
        <v>52</v>
      </c>
      <c r="E1308" t="s">
        <v>37</v>
      </c>
      <c r="F1308" t="s">
        <v>44</v>
      </c>
      <c r="G1308" t="s">
        <v>28</v>
      </c>
      <c r="H1308">
        <v>5161</v>
      </c>
      <c r="I1308">
        <v>3713.36</v>
      </c>
      <c r="J1308">
        <v>2261.94</v>
      </c>
      <c r="K1308">
        <v>1447.64</v>
      </c>
      <c r="L1308">
        <v>2899.06</v>
      </c>
      <c r="M1308" t="s">
        <v>39</v>
      </c>
      <c r="N1308">
        <v>30</v>
      </c>
    </row>
    <row r="1309" spans="1:14" x14ac:dyDescent="0.35">
      <c r="A1309">
        <v>101308</v>
      </c>
      <c r="B1309">
        <v>54027</v>
      </c>
      <c r="C1309" t="s">
        <v>206</v>
      </c>
      <c r="D1309" t="s">
        <v>49</v>
      </c>
      <c r="E1309" t="s">
        <v>41</v>
      </c>
      <c r="F1309" t="s">
        <v>17</v>
      </c>
      <c r="G1309" t="s">
        <v>45</v>
      </c>
      <c r="H1309">
        <v>5553</v>
      </c>
      <c r="I1309">
        <v>4143.71</v>
      </c>
      <c r="J1309">
        <v>509.42</v>
      </c>
      <c r="K1309">
        <v>1409.29</v>
      </c>
      <c r="L1309">
        <v>5043.58</v>
      </c>
      <c r="M1309" t="s">
        <v>50</v>
      </c>
      <c r="N1309">
        <v>72</v>
      </c>
    </row>
    <row r="1310" spans="1:14" x14ac:dyDescent="0.35">
      <c r="A1310">
        <v>101309</v>
      </c>
      <c r="B1310">
        <v>63555</v>
      </c>
      <c r="C1310" t="s">
        <v>644</v>
      </c>
      <c r="D1310" t="s">
        <v>30</v>
      </c>
      <c r="E1310" t="s">
        <v>26</v>
      </c>
      <c r="F1310" t="s">
        <v>23</v>
      </c>
      <c r="G1310" t="s">
        <v>45</v>
      </c>
      <c r="H1310">
        <v>869</v>
      </c>
      <c r="I1310">
        <v>615.88</v>
      </c>
      <c r="J1310">
        <v>74.08</v>
      </c>
      <c r="K1310">
        <v>253.12</v>
      </c>
      <c r="L1310">
        <v>794.92</v>
      </c>
      <c r="M1310" t="s">
        <v>50</v>
      </c>
      <c r="N1310">
        <v>75</v>
      </c>
    </row>
    <row r="1311" spans="1:14" x14ac:dyDescent="0.35">
      <c r="A1311">
        <v>101310</v>
      </c>
      <c r="B1311">
        <v>15912</v>
      </c>
      <c r="C1311" t="s">
        <v>465</v>
      </c>
      <c r="D1311" t="s">
        <v>30</v>
      </c>
      <c r="E1311" t="s">
        <v>31</v>
      </c>
      <c r="F1311" t="s">
        <v>35</v>
      </c>
      <c r="G1311" t="s">
        <v>18</v>
      </c>
      <c r="H1311">
        <v>21625</v>
      </c>
      <c r="I1311">
        <v>14096.82</v>
      </c>
      <c r="J1311">
        <v>0</v>
      </c>
      <c r="K1311">
        <v>7528.18</v>
      </c>
      <c r="L1311">
        <v>21625</v>
      </c>
      <c r="M1311" t="s">
        <v>62</v>
      </c>
      <c r="N1311">
        <v>121</v>
      </c>
    </row>
    <row r="1312" spans="1:14" x14ac:dyDescent="0.35">
      <c r="A1312">
        <v>101311</v>
      </c>
      <c r="B1312">
        <v>66160</v>
      </c>
      <c r="C1312" t="s">
        <v>645</v>
      </c>
      <c r="D1312" t="s">
        <v>52</v>
      </c>
      <c r="E1312" t="s">
        <v>22</v>
      </c>
      <c r="F1312" t="s">
        <v>32</v>
      </c>
      <c r="G1312" t="s">
        <v>28</v>
      </c>
      <c r="H1312">
        <v>21620</v>
      </c>
      <c r="I1312">
        <v>15097.49</v>
      </c>
      <c r="J1312">
        <v>15097.49</v>
      </c>
      <c r="K1312">
        <v>6522.51</v>
      </c>
      <c r="L1312">
        <v>6522.51</v>
      </c>
      <c r="M1312" t="s">
        <v>19</v>
      </c>
      <c r="N1312">
        <v>68</v>
      </c>
    </row>
    <row r="1313" spans="1:14" x14ac:dyDescent="0.35">
      <c r="A1313">
        <v>101312</v>
      </c>
      <c r="B1313">
        <v>67647</v>
      </c>
      <c r="C1313" t="s">
        <v>646</v>
      </c>
      <c r="D1313" t="s">
        <v>34</v>
      </c>
      <c r="E1313" t="s">
        <v>16</v>
      </c>
      <c r="F1313" t="s">
        <v>32</v>
      </c>
      <c r="G1313" t="s">
        <v>24</v>
      </c>
      <c r="H1313">
        <v>20661</v>
      </c>
      <c r="I1313">
        <v>12208.96</v>
      </c>
      <c r="J1313">
        <v>12208.96</v>
      </c>
      <c r="K1313">
        <v>8452.0400000000009</v>
      </c>
      <c r="L1313">
        <v>8452.0400000000009</v>
      </c>
      <c r="M1313" t="s">
        <v>19</v>
      </c>
      <c r="N1313">
        <v>48</v>
      </c>
    </row>
    <row r="1314" spans="1:14" x14ac:dyDescent="0.35">
      <c r="A1314">
        <v>101313</v>
      </c>
      <c r="B1314">
        <v>54636</v>
      </c>
      <c r="C1314" t="s">
        <v>647</v>
      </c>
      <c r="D1314" t="s">
        <v>65</v>
      </c>
      <c r="E1314" t="s">
        <v>41</v>
      </c>
      <c r="F1314" t="s">
        <v>32</v>
      </c>
      <c r="G1314" t="s">
        <v>18</v>
      </c>
      <c r="H1314">
        <v>658</v>
      </c>
      <c r="I1314">
        <v>382.56</v>
      </c>
      <c r="J1314">
        <v>32.54</v>
      </c>
      <c r="K1314">
        <v>275.44</v>
      </c>
      <c r="L1314">
        <v>625.46</v>
      </c>
      <c r="M1314" t="s">
        <v>50</v>
      </c>
      <c r="N1314">
        <v>66</v>
      </c>
    </row>
    <row r="1315" spans="1:14" x14ac:dyDescent="0.35">
      <c r="A1315">
        <v>101314</v>
      </c>
      <c r="B1315">
        <v>76149</v>
      </c>
      <c r="C1315" t="s">
        <v>393</v>
      </c>
      <c r="D1315" t="s">
        <v>49</v>
      </c>
      <c r="E1315" t="s">
        <v>41</v>
      </c>
      <c r="F1315" t="s">
        <v>32</v>
      </c>
      <c r="G1315" t="s">
        <v>28</v>
      </c>
      <c r="H1315">
        <v>16063</v>
      </c>
      <c r="I1315">
        <v>13906.89</v>
      </c>
      <c r="J1315">
        <v>0</v>
      </c>
      <c r="K1315">
        <v>2156.11</v>
      </c>
      <c r="L1315">
        <v>16063</v>
      </c>
      <c r="M1315" t="s">
        <v>62</v>
      </c>
      <c r="N1315">
        <v>90</v>
      </c>
    </row>
    <row r="1316" spans="1:14" x14ac:dyDescent="0.35">
      <c r="A1316">
        <v>101315</v>
      </c>
      <c r="B1316">
        <v>34510</v>
      </c>
      <c r="C1316" t="s">
        <v>648</v>
      </c>
      <c r="D1316" t="s">
        <v>30</v>
      </c>
      <c r="E1316" t="s">
        <v>41</v>
      </c>
      <c r="F1316" t="s">
        <v>44</v>
      </c>
      <c r="G1316" t="s">
        <v>28</v>
      </c>
      <c r="H1316">
        <v>24222</v>
      </c>
      <c r="I1316">
        <v>18128.36</v>
      </c>
      <c r="J1316">
        <v>8987.6</v>
      </c>
      <c r="K1316">
        <v>6093.64</v>
      </c>
      <c r="L1316">
        <v>15234.4</v>
      </c>
      <c r="M1316" t="s">
        <v>39</v>
      </c>
      <c r="N1316">
        <v>127</v>
      </c>
    </row>
    <row r="1317" spans="1:14" x14ac:dyDescent="0.35">
      <c r="A1317">
        <v>101316</v>
      </c>
      <c r="B1317">
        <v>83098</v>
      </c>
      <c r="C1317" t="s">
        <v>198</v>
      </c>
      <c r="D1317" t="s">
        <v>21</v>
      </c>
      <c r="E1317" t="s">
        <v>16</v>
      </c>
      <c r="F1317" t="s">
        <v>54</v>
      </c>
      <c r="G1317" t="s">
        <v>72</v>
      </c>
      <c r="H1317">
        <v>22523</v>
      </c>
      <c r="I1317">
        <v>13740.05</v>
      </c>
      <c r="J1317">
        <v>9622.32</v>
      </c>
      <c r="K1317">
        <v>8782.9500000000007</v>
      </c>
      <c r="L1317">
        <v>12900.68</v>
      </c>
      <c r="M1317" t="s">
        <v>39</v>
      </c>
      <c r="N1317">
        <v>21</v>
      </c>
    </row>
    <row r="1318" spans="1:14" x14ac:dyDescent="0.35">
      <c r="A1318">
        <v>101317</v>
      </c>
      <c r="B1318">
        <v>53410</v>
      </c>
      <c r="C1318" t="s">
        <v>242</v>
      </c>
      <c r="D1318" t="s">
        <v>30</v>
      </c>
      <c r="E1318" t="s">
        <v>31</v>
      </c>
      <c r="F1318" t="s">
        <v>61</v>
      </c>
      <c r="G1318" t="s">
        <v>24</v>
      </c>
      <c r="H1318">
        <v>13474</v>
      </c>
      <c r="I1318">
        <v>12168.77</v>
      </c>
      <c r="J1318">
        <v>12168.77</v>
      </c>
      <c r="K1318">
        <v>1305.23</v>
      </c>
      <c r="L1318">
        <v>1305.23</v>
      </c>
      <c r="M1318" t="s">
        <v>19</v>
      </c>
      <c r="N1318">
        <v>30</v>
      </c>
    </row>
    <row r="1319" spans="1:14" x14ac:dyDescent="0.35">
      <c r="A1319">
        <v>101318</v>
      </c>
      <c r="B1319">
        <v>14611</v>
      </c>
      <c r="C1319" t="s">
        <v>403</v>
      </c>
      <c r="D1319" t="s">
        <v>49</v>
      </c>
      <c r="E1319" t="s">
        <v>41</v>
      </c>
      <c r="F1319" t="s">
        <v>32</v>
      </c>
      <c r="G1319" t="s">
        <v>28</v>
      </c>
      <c r="H1319">
        <v>2577</v>
      </c>
      <c r="I1319">
        <v>1440.07</v>
      </c>
      <c r="J1319">
        <v>1440.07</v>
      </c>
      <c r="K1319">
        <v>1136.93</v>
      </c>
      <c r="L1319">
        <v>1136.93</v>
      </c>
      <c r="M1319" t="s">
        <v>19</v>
      </c>
      <c r="N1319">
        <v>56</v>
      </c>
    </row>
    <row r="1320" spans="1:14" x14ac:dyDescent="0.35">
      <c r="A1320">
        <v>101319</v>
      </c>
      <c r="B1320">
        <v>67014</v>
      </c>
      <c r="C1320" t="s">
        <v>649</v>
      </c>
      <c r="D1320" t="s">
        <v>65</v>
      </c>
      <c r="E1320" t="s">
        <v>22</v>
      </c>
      <c r="F1320" t="s">
        <v>35</v>
      </c>
      <c r="G1320" t="s">
        <v>72</v>
      </c>
      <c r="H1320">
        <v>2449</v>
      </c>
      <c r="I1320">
        <v>2093.94</v>
      </c>
      <c r="J1320">
        <v>1812.98</v>
      </c>
      <c r="K1320">
        <v>355.06</v>
      </c>
      <c r="L1320">
        <v>636.02</v>
      </c>
      <c r="M1320" t="s">
        <v>39</v>
      </c>
      <c r="N1320">
        <v>21</v>
      </c>
    </row>
    <row r="1321" spans="1:14" x14ac:dyDescent="0.35">
      <c r="A1321">
        <v>101320</v>
      </c>
      <c r="B1321">
        <v>50517</v>
      </c>
      <c r="C1321" t="s">
        <v>439</v>
      </c>
      <c r="D1321" t="s">
        <v>21</v>
      </c>
      <c r="E1321" t="s">
        <v>56</v>
      </c>
      <c r="F1321" t="s">
        <v>27</v>
      </c>
      <c r="G1321" t="s">
        <v>24</v>
      </c>
      <c r="H1321">
        <v>23231</v>
      </c>
      <c r="I1321">
        <v>14617.4</v>
      </c>
      <c r="J1321">
        <v>14617.4</v>
      </c>
      <c r="K1321">
        <v>8613.6</v>
      </c>
      <c r="L1321">
        <v>8613.6</v>
      </c>
      <c r="M1321" t="s">
        <v>19</v>
      </c>
      <c r="N1321">
        <v>40</v>
      </c>
    </row>
    <row r="1322" spans="1:14" x14ac:dyDescent="0.35">
      <c r="A1322">
        <v>101321</v>
      </c>
      <c r="B1322">
        <v>34930</v>
      </c>
      <c r="C1322" t="s">
        <v>115</v>
      </c>
      <c r="D1322" t="s">
        <v>52</v>
      </c>
      <c r="E1322" t="s">
        <v>43</v>
      </c>
      <c r="F1322" t="s">
        <v>35</v>
      </c>
      <c r="G1322" t="s">
        <v>18</v>
      </c>
      <c r="H1322">
        <v>16793</v>
      </c>
      <c r="I1322">
        <v>9342.4500000000007</v>
      </c>
      <c r="J1322">
        <v>9342.4500000000007</v>
      </c>
      <c r="K1322">
        <v>7450.55</v>
      </c>
      <c r="L1322">
        <v>7450.55</v>
      </c>
      <c r="M1322" t="s">
        <v>19</v>
      </c>
      <c r="N1322">
        <v>39</v>
      </c>
    </row>
    <row r="1323" spans="1:14" x14ac:dyDescent="0.35">
      <c r="A1323">
        <v>101322</v>
      </c>
      <c r="B1323">
        <v>39390</v>
      </c>
      <c r="C1323" t="s">
        <v>650</v>
      </c>
      <c r="D1323" t="s">
        <v>21</v>
      </c>
      <c r="E1323" t="s">
        <v>56</v>
      </c>
      <c r="F1323" t="s">
        <v>44</v>
      </c>
      <c r="G1323" t="s">
        <v>28</v>
      </c>
      <c r="H1323">
        <v>15381</v>
      </c>
      <c r="I1323">
        <v>9681.7199999999993</v>
      </c>
      <c r="J1323">
        <v>9681.7199999999993</v>
      </c>
      <c r="K1323">
        <v>5699.28</v>
      </c>
      <c r="L1323">
        <v>5699.28</v>
      </c>
      <c r="M1323" t="s">
        <v>19</v>
      </c>
      <c r="N1323">
        <v>135</v>
      </c>
    </row>
    <row r="1324" spans="1:14" x14ac:dyDescent="0.35">
      <c r="A1324">
        <v>101323</v>
      </c>
      <c r="B1324">
        <v>70059</v>
      </c>
      <c r="C1324" t="s">
        <v>350</v>
      </c>
      <c r="D1324" t="s">
        <v>52</v>
      </c>
      <c r="E1324" t="s">
        <v>26</v>
      </c>
      <c r="F1324" t="s">
        <v>61</v>
      </c>
      <c r="G1324" t="s">
        <v>24</v>
      </c>
      <c r="H1324">
        <v>12175</v>
      </c>
      <c r="I1324">
        <v>8059.97</v>
      </c>
      <c r="J1324">
        <v>8059.97</v>
      </c>
      <c r="K1324">
        <v>4115.03</v>
      </c>
      <c r="L1324">
        <v>4115.03</v>
      </c>
      <c r="M1324" t="s">
        <v>19</v>
      </c>
      <c r="N1324">
        <v>40</v>
      </c>
    </row>
    <row r="1325" spans="1:14" x14ac:dyDescent="0.35">
      <c r="A1325">
        <v>101324</v>
      </c>
      <c r="B1325">
        <v>96884</v>
      </c>
      <c r="C1325" t="s">
        <v>632</v>
      </c>
      <c r="D1325" t="s">
        <v>21</v>
      </c>
      <c r="E1325" t="s">
        <v>56</v>
      </c>
      <c r="F1325" t="s">
        <v>61</v>
      </c>
      <c r="G1325" t="s">
        <v>72</v>
      </c>
      <c r="H1325">
        <v>3306</v>
      </c>
      <c r="I1325">
        <v>1969.04</v>
      </c>
      <c r="J1325">
        <v>1969.04</v>
      </c>
      <c r="K1325">
        <v>1336.96</v>
      </c>
      <c r="L1325">
        <v>1336.96</v>
      </c>
      <c r="M1325" t="s">
        <v>19</v>
      </c>
      <c r="N1325">
        <v>121</v>
      </c>
    </row>
    <row r="1326" spans="1:14" x14ac:dyDescent="0.35">
      <c r="A1326">
        <v>101325</v>
      </c>
      <c r="B1326">
        <v>65308</v>
      </c>
      <c r="C1326" t="s">
        <v>483</v>
      </c>
      <c r="D1326" t="s">
        <v>30</v>
      </c>
      <c r="E1326" t="s">
        <v>56</v>
      </c>
      <c r="F1326" t="s">
        <v>54</v>
      </c>
      <c r="G1326" t="s">
        <v>18</v>
      </c>
      <c r="H1326">
        <v>24915</v>
      </c>
      <c r="I1326">
        <v>23628.37</v>
      </c>
      <c r="J1326">
        <v>23628.37</v>
      </c>
      <c r="K1326">
        <v>1286.6300000000001</v>
      </c>
      <c r="L1326">
        <v>1286.6300000000001</v>
      </c>
      <c r="M1326" t="s">
        <v>19</v>
      </c>
      <c r="N1326">
        <v>136</v>
      </c>
    </row>
    <row r="1327" spans="1:14" x14ac:dyDescent="0.35">
      <c r="A1327">
        <v>101326</v>
      </c>
      <c r="B1327">
        <v>88118</v>
      </c>
      <c r="C1327" t="s">
        <v>507</v>
      </c>
      <c r="D1327" t="s">
        <v>30</v>
      </c>
      <c r="E1327" t="s">
        <v>16</v>
      </c>
      <c r="F1327" t="s">
        <v>27</v>
      </c>
      <c r="G1327" t="s">
        <v>18</v>
      </c>
      <c r="H1327">
        <v>12518</v>
      </c>
      <c r="I1327">
        <v>9142.7199999999993</v>
      </c>
      <c r="J1327">
        <v>9142.7199999999993</v>
      </c>
      <c r="K1327">
        <v>3375.28</v>
      </c>
      <c r="L1327">
        <v>3375.28</v>
      </c>
      <c r="M1327" t="s">
        <v>19</v>
      </c>
      <c r="N1327">
        <v>70</v>
      </c>
    </row>
    <row r="1328" spans="1:14" x14ac:dyDescent="0.35">
      <c r="A1328">
        <v>101327</v>
      </c>
      <c r="B1328">
        <v>46744</v>
      </c>
      <c r="C1328" t="s">
        <v>566</v>
      </c>
      <c r="D1328" t="s">
        <v>21</v>
      </c>
      <c r="E1328" t="s">
        <v>16</v>
      </c>
      <c r="F1328" t="s">
        <v>61</v>
      </c>
      <c r="G1328" t="s">
        <v>72</v>
      </c>
      <c r="H1328">
        <v>24138</v>
      </c>
      <c r="I1328">
        <v>22639.34</v>
      </c>
      <c r="J1328">
        <v>10141.69</v>
      </c>
      <c r="K1328">
        <v>1498.66</v>
      </c>
      <c r="L1328">
        <v>13996.31</v>
      </c>
      <c r="M1328" t="s">
        <v>39</v>
      </c>
      <c r="N1328">
        <v>131</v>
      </c>
    </row>
    <row r="1329" spans="1:14" x14ac:dyDescent="0.35">
      <c r="A1329">
        <v>101328</v>
      </c>
      <c r="B1329">
        <v>74234</v>
      </c>
      <c r="C1329" t="s">
        <v>585</v>
      </c>
      <c r="D1329" t="s">
        <v>21</v>
      </c>
      <c r="E1329" t="s">
        <v>22</v>
      </c>
      <c r="F1329" t="s">
        <v>27</v>
      </c>
      <c r="G1329" t="s">
        <v>18</v>
      </c>
      <c r="H1329">
        <v>24047</v>
      </c>
      <c r="I1329">
        <v>15274.31</v>
      </c>
      <c r="J1329">
        <v>15274.31</v>
      </c>
      <c r="K1329">
        <v>8772.69</v>
      </c>
      <c r="L1329">
        <v>8772.69</v>
      </c>
      <c r="M1329" t="s">
        <v>19</v>
      </c>
      <c r="N1329">
        <v>57</v>
      </c>
    </row>
    <row r="1330" spans="1:14" x14ac:dyDescent="0.35">
      <c r="A1330">
        <v>101329</v>
      </c>
      <c r="B1330">
        <v>47810</v>
      </c>
      <c r="C1330" t="s">
        <v>292</v>
      </c>
      <c r="D1330" t="s">
        <v>49</v>
      </c>
      <c r="E1330" t="s">
        <v>41</v>
      </c>
      <c r="F1330" t="s">
        <v>44</v>
      </c>
      <c r="G1330" t="s">
        <v>72</v>
      </c>
      <c r="H1330">
        <v>12043</v>
      </c>
      <c r="I1330">
        <v>9398.83</v>
      </c>
      <c r="J1330">
        <v>9398.83</v>
      </c>
      <c r="K1330">
        <v>2644.17</v>
      </c>
      <c r="L1330">
        <v>2644.17</v>
      </c>
      <c r="M1330" t="s">
        <v>19</v>
      </c>
      <c r="N1330">
        <v>85</v>
      </c>
    </row>
    <row r="1331" spans="1:14" x14ac:dyDescent="0.35">
      <c r="A1331">
        <v>101330</v>
      </c>
      <c r="B1331">
        <v>25124</v>
      </c>
      <c r="C1331" t="s">
        <v>554</v>
      </c>
      <c r="D1331" t="s">
        <v>65</v>
      </c>
      <c r="E1331" t="s">
        <v>16</v>
      </c>
      <c r="F1331" t="s">
        <v>35</v>
      </c>
      <c r="G1331" t="s">
        <v>72</v>
      </c>
      <c r="H1331">
        <v>11494</v>
      </c>
      <c r="I1331">
        <v>7320.07</v>
      </c>
      <c r="J1331">
        <v>6331.2</v>
      </c>
      <c r="K1331">
        <v>4173.93</v>
      </c>
      <c r="L1331">
        <v>5162.8</v>
      </c>
      <c r="M1331" t="s">
        <v>39</v>
      </c>
      <c r="N1331">
        <v>88</v>
      </c>
    </row>
    <row r="1332" spans="1:14" x14ac:dyDescent="0.35">
      <c r="A1332">
        <v>101331</v>
      </c>
      <c r="B1332">
        <v>38865</v>
      </c>
      <c r="C1332" t="s">
        <v>651</v>
      </c>
      <c r="D1332" t="s">
        <v>49</v>
      </c>
      <c r="E1332" t="s">
        <v>26</v>
      </c>
      <c r="F1332" t="s">
        <v>44</v>
      </c>
      <c r="G1332" t="s">
        <v>38</v>
      </c>
      <c r="H1332">
        <v>21336</v>
      </c>
      <c r="I1332">
        <v>17619.740000000002</v>
      </c>
      <c r="J1332">
        <v>17619.740000000002</v>
      </c>
      <c r="K1332">
        <v>3716.26</v>
      </c>
      <c r="L1332">
        <v>3716.26</v>
      </c>
      <c r="M1332" t="s">
        <v>19</v>
      </c>
      <c r="N1332">
        <v>77</v>
      </c>
    </row>
    <row r="1333" spans="1:14" x14ac:dyDescent="0.35">
      <c r="A1333">
        <v>101332</v>
      </c>
      <c r="B1333">
        <v>23605</v>
      </c>
      <c r="C1333" t="s">
        <v>592</v>
      </c>
      <c r="D1333" t="s">
        <v>52</v>
      </c>
      <c r="E1333" t="s">
        <v>31</v>
      </c>
      <c r="F1333" t="s">
        <v>32</v>
      </c>
      <c r="G1333" t="s">
        <v>24</v>
      </c>
      <c r="H1333">
        <v>17960</v>
      </c>
      <c r="I1333">
        <v>11785.76</v>
      </c>
      <c r="J1333">
        <v>11785.76</v>
      </c>
      <c r="K1333">
        <v>6174.24</v>
      </c>
      <c r="L1333">
        <v>6174.24</v>
      </c>
      <c r="M1333" t="s">
        <v>19</v>
      </c>
      <c r="N1333">
        <v>45</v>
      </c>
    </row>
    <row r="1334" spans="1:14" x14ac:dyDescent="0.35">
      <c r="A1334">
        <v>101333</v>
      </c>
      <c r="B1334">
        <v>28716</v>
      </c>
      <c r="C1334" t="s">
        <v>461</v>
      </c>
      <c r="D1334" t="s">
        <v>21</v>
      </c>
      <c r="E1334" t="s">
        <v>37</v>
      </c>
      <c r="F1334" t="s">
        <v>32</v>
      </c>
      <c r="G1334" t="s">
        <v>28</v>
      </c>
      <c r="H1334">
        <v>5924</v>
      </c>
      <c r="I1334">
        <v>4837.17</v>
      </c>
      <c r="J1334">
        <v>4837.17</v>
      </c>
      <c r="K1334">
        <v>1086.83</v>
      </c>
      <c r="L1334">
        <v>1086.83</v>
      </c>
      <c r="M1334" t="s">
        <v>19</v>
      </c>
      <c r="N1334">
        <v>30</v>
      </c>
    </row>
    <row r="1335" spans="1:14" x14ac:dyDescent="0.35">
      <c r="A1335">
        <v>101334</v>
      </c>
      <c r="B1335">
        <v>88281</v>
      </c>
      <c r="C1335" t="s">
        <v>652</v>
      </c>
      <c r="D1335" t="s">
        <v>30</v>
      </c>
      <c r="E1335" t="s">
        <v>56</v>
      </c>
      <c r="F1335" t="s">
        <v>27</v>
      </c>
      <c r="G1335" t="s">
        <v>24</v>
      </c>
      <c r="H1335">
        <v>24175</v>
      </c>
      <c r="I1335">
        <v>19714.32</v>
      </c>
      <c r="J1335">
        <v>19714.32</v>
      </c>
      <c r="K1335">
        <v>4460.68</v>
      </c>
      <c r="L1335">
        <v>4460.68</v>
      </c>
      <c r="M1335" t="s">
        <v>19</v>
      </c>
      <c r="N1335">
        <v>69</v>
      </c>
    </row>
    <row r="1336" spans="1:14" x14ac:dyDescent="0.35">
      <c r="A1336">
        <v>101335</v>
      </c>
      <c r="B1336">
        <v>14346</v>
      </c>
      <c r="C1336" t="s">
        <v>347</v>
      </c>
      <c r="D1336" t="s">
        <v>34</v>
      </c>
      <c r="E1336" t="s">
        <v>26</v>
      </c>
      <c r="F1336" t="s">
        <v>23</v>
      </c>
      <c r="G1336" t="s">
        <v>38</v>
      </c>
      <c r="H1336">
        <v>22912</v>
      </c>
      <c r="I1336">
        <v>17996.71</v>
      </c>
      <c r="J1336">
        <v>17996.71</v>
      </c>
      <c r="K1336">
        <v>4915.29</v>
      </c>
      <c r="L1336">
        <v>4915.29</v>
      </c>
      <c r="M1336" t="s">
        <v>19</v>
      </c>
      <c r="N1336">
        <v>1</v>
      </c>
    </row>
    <row r="1337" spans="1:14" x14ac:dyDescent="0.35">
      <c r="A1337">
        <v>101336</v>
      </c>
      <c r="B1337">
        <v>77446</v>
      </c>
      <c r="C1337" t="s">
        <v>386</v>
      </c>
      <c r="D1337" t="s">
        <v>30</v>
      </c>
      <c r="E1337" t="s">
        <v>31</v>
      </c>
      <c r="F1337" t="s">
        <v>35</v>
      </c>
      <c r="G1337" t="s">
        <v>38</v>
      </c>
      <c r="H1337">
        <v>23766</v>
      </c>
      <c r="I1337">
        <v>18313.12</v>
      </c>
      <c r="J1337">
        <v>18313.12</v>
      </c>
      <c r="K1337">
        <v>5452.88</v>
      </c>
      <c r="L1337">
        <v>5452.88</v>
      </c>
      <c r="M1337" t="s">
        <v>19</v>
      </c>
      <c r="N1337">
        <v>13</v>
      </c>
    </row>
    <row r="1338" spans="1:14" x14ac:dyDescent="0.35">
      <c r="A1338">
        <v>101337</v>
      </c>
      <c r="B1338">
        <v>24580</v>
      </c>
      <c r="C1338" t="s">
        <v>88</v>
      </c>
      <c r="D1338" t="s">
        <v>15</v>
      </c>
      <c r="E1338" t="s">
        <v>41</v>
      </c>
      <c r="F1338" t="s">
        <v>23</v>
      </c>
      <c r="G1338" t="s">
        <v>18</v>
      </c>
      <c r="H1338">
        <v>17397</v>
      </c>
      <c r="I1338">
        <v>13157.45</v>
      </c>
      <c r="J1338">
        <v>13157.45</v>
      </c>
      <c r="K1338">
        <v>4239.55</v>
      </c>
      <c r="L1338">
        <v>4239.55</v>
      </c>
      <c r="M1338" t="s">
        <v>19</v>
      </c>
      <c r="N1338">
        <v>165</v>
      </c>
    </row>
    <row r="1339" spans="1:14" x14ac:dyDescent="0.35">
      <c r="A1339">
        <v>101338</v>
      </c>
      <c r="B1339">
        <v>18291</v>
      </c>
      <c r="C1339" t="s">
        <v>390</v>
      </c>
      <c r="D1339" t="s">
        <v>21</v>
      </c>
      <c r="E1339" t="s">
        <v>43</v>
      </c>
      <c r="F1339" t="s">
        <v>61</v>
      </c>
      <c r="G1339" t="s">
        <v>18</v>
      </c>
      <c r="H1339">
        <v>13565</v>
      </c>
      <c r="I1339">
        <v>12289.28</v>
      </c>
      <c r="J1339">
        <v>12289.28</v>
      </c>
      <c r="K1339">
        <v>1275.72</v>
      </c>
      <c r="L1339">
        <v>1275.72</v>
      </c>
      <c r="M1339" t="s">
        <v>19</v>
      </c>
      <c r="N1339">
        <v>100</v>
      </c>
    </row>
    <row r="1340" spans="1:14" x14ac:dyDescent="0.35">
      <c r="A1340">
        <v>101339</v>
      </c>
      <c r="B1340">
        <v>22271</v>
      </c>
      <c r="C1340" t="s">
        <v>237</v>
      </c>
      <c r="D1340" t="s">
        <v>30</v>
      </c>
      <c r="E1340" t="s">
        <v>43</v>
      </c>
      <c r="F1340" t="s">
        <v>44</v>
      </c>
      <c r="G1340" t="s">
        <v>18</v>
      </c>
      <c r="H1340">
        <v>11125</v>
      </c>
      <c r="I1340">
        <v>6354.47</v>
      </c>
      <c r="J1340">
        <v>6354.47</v>
      </c>
      <c r="K1340">
        <v>4770.53</v>
      </c>
      <c r="L1340">
        <v>4770.53</v>
      </c>
      <c r="M1340" t="s">
        <v>19</v>
      </c>
      <c r="N1340">
        <v>42</v>
      </c>
    </row>
    <row r="1341" spans="1:14" x14ac:dyDescent="0.35">
      <c r="A1341">
        <v>101340</v>
      </c>
      <c r="B1341">
        <v>94353</v>
      </c>
      <c r="C1341" t="s">
        <v>581</v>
      </c>
      <c r="D1341" t="s">
        <v>15</v>
      </c>
      <c r="E1341" t="s">
        <v>22</v>
      </c>
      <c r="F1341" t="s">
        <v>27</v>
      </c>
      <c r="G1341" t="s">
        <v>72</v>
      </c>
      <c r="H1341">
        <v>11235</v>
      </c>
      <c r="I1341">
        <v>9321.94</v>
      </c>
      <c r="J1341">
        <v>9321.94</v>
      </c>
      <c r="K1341">
        <v>1913.06</v>
      </c>
      <c r="L1341">
        <v>1913.06</v>
      </c>
      <c r="M1341" t="s">
        <v>19</v>
      </c>
      <c r="N1341">
        <v>145</v>
      </c>
    </row>
    <row r="1342" spans="1:14" x14ac:dyDescent="0.35">
      <c r="A1342">
        <v>101341</v>
      </c>
      <c r="B1342">
        <v>77786</v>
      </c>
      <c r="C1342" t="s">
        <v>400</v>
      </c>
      <c r="D1342" t="s">
        <v>21</v>
      </c>
      <c r="E1342" t="s">
        <v>43</v>
      </c>
      <c r="F1342" t="s">
        <v>23</v>
      </c>
      <c r="G1342" t="s">
        <v>24</v>
      </c>
      <c r="H1342">
        <v>12299</v>
      </c>
      <c r="I1342">
        <v>9932.16</v>
      </c>
      <c r="J1342">
        <v>0</v>
      </c>
      <c r="K1342">
        <v>2366.84</v>
      </c>
      <c r="L1342">
        <v>12299</v>
      </c>
      <c r="M1342" t="s">
        <v>62</v>
      </c>
      <c r="N1342">
        <v>80</v>
      </c>
    </row>
    <row r="1343" spans="1:14" x14ac:dyDescent="0.35">
      <c r="A1343">
        <v>101342</v>
      </c>
      <c r="B1343">
        <v>56379</v>
      </c>
      <c r="C1343" t="s">
        <v>324</v>
      </c>
      <c r="D1343" t="s">
        <v>21</v>
      </c>
      <c r="E1343" t="s">
        <v>26</v>
      </c>
      <c r="F1343" t="s">
        <v>44</v>
      </c>
      <c r="G1343" t="s">
        <v>28</v>
      </c>
      <c r="H1343">
        <v>19610</v>
      </c>
      <c r="I1343">
        <v>12292.12</v>
      </c>
      <c r="J1343">
        <v>12292.12</v>
      </c>
      <c r="K1343">
        <v>7317.88</v>
      </c>
      <c r="L1343">
        <v>7317.88</v>
      </c>
      <c r="M1343" t="s">
        <v>19</v>
      </c>
      <c r="N1343">
        <v>94</v>
      </c>
    </row>
    <row r="1344" spans="1:14" x14ac:dyDescent="0.35">
      <c r="A1344">
        <v>101343</v>
      </c>
      <c r="B1344">
        <v>57783</v>
      </c>
      <c r="C1344" t="s">
        <v>333</v>
      </c>
      <c r="D1344" t="s">
        <v>15</v>
      </c>
      <c r="E1344" t="s">
        <v>22</v>
      </c>
      <c r="F1344" t="s">
        <v>17</v>
      </c>
      <c r="G1344" t="s">
        <v>45</v>
      </c>
      <c r="H1344">
        <v>13482</v>
      </c>
      <c r="I1344">
        <v>8699.39</v>
      </c>
      <c r="J1344">
        <v>8699.39</v>
      </c>
      <c r="K1344">
        <v>4782.6099999999997</v>
      </c>
      <c r="L1344">
        <v>4782.6099999999997</v>
      </c>
      <c r="M1344" t="s">
        <v>19</v>
      </c>
      <c r="N1344">
        <v>106</v>
      </c>
    </row>
    <row r="1345" spans="1:14" x14ac:dyDescent="0.35">
      <c r="A1345">
        <v>101344</v>
      </c>
      <c r="B1345">
        <v>86781</v>
      </c>
      <c r="C1345" t="s">
        <v>653</v>
      </c>
      <c r="D1345" t="s">
        <v>15</v>
      </c>
      <c r="E1345" t="s">
        <v>41</v>
      </c>
      <c r="F1345" t="s">
        <v>61</v>
      </c>
      <c r="G1345" t="s">
        <v>72</v>
      </c>
      <c r="H1345">
        <v>10010</v>
      </c>
      <c r="I1345">
        <v>5766.07</v>
      </c>
      <c r="J1345">
        <v>0</v>
      </c>
      <c r="K1345">
        <v>4243.93</v>
      </c>
      <c r="L1345">
        <v>10010</v>
      </c>
      <c r="M1345" t="s">
        <v>62</v>
      </c>
      <c r="N1345">
        <v>41</v>
      </c>
    </row>
    <row r="1346" spans="1:14" x14ac:dyDescent="0.35">
      <c r="A1346">
        <v>101345</v>
      </c>
      <c r="B1346">
        <v>51480</v>
      </c>
      <c r="C1346" t="s">
        <v>538</v>
      </c>
      <c r="D1346" t="s">
        <v>34</v>
      </c>
      <c r="E1346" t="s">
        <v>22</v>
      </c>
      <c r="F1346" t="s">
        <v>23</v>
      </c>
      <c r="G1346" t="s">
        <v>28</v>
      </c>
      <c r="H1346">
        <v>3452</v>
      </c>
      <c r="I1346">
        <v>2937.95</v>
      </c>
      <c r="J1346">
        <v>2937.95</v>
      </c>
      <c r="K1346">
        <v>514.04999999999995</v>
      </c>
      <c r="L1346">
        <v>514.04999999999995</v>
      </c>
      <c r="M1346" t="s">
        <v>19</v>
      </c>
      <c r="N1346">
        <v>149</v>
      </c>
    </row>
    <row r="1347" spans="1:14" x14ac:dyDescent="0.35">
      <c r="A1347">
        <v>101346</v>
      </c>
      <c r="B1347">
        <v>97071</v>
      </c>
      <c r="C1347" t="s">
        <v>269</v>
      </c>
      <c r="D1347" t="s">
        <v>21</v>
      </c>
      <c r="E1347" t="s">
        <v>26</v>
      </c>
      <c r="F1347" t="s">
        <v>23</v>
      </c>
      <c r="G1347" t="s">
        <v>72</v>
      </c>
      <c r="H1347">
        <v>14711</v>
      </c>
      <c r="I1347">
        <v>13596.78</v>
      </c>
      <c r="J1347">
        <v>13596.78</v>
      </c>
      <c r="K1347">
        <v>1114.22</v>
      </c>
      <c r="L1347">
        <v>1114.22</v>
      </c>
      <c r="M1347" t="s">
        <v>19</v>
      </c>
      <c r="N1347">
        <v>57</v>
      </c>
    </row>
    <row r="1348" spans="1:14" x14ac:dyDescent="0.35">
      <c r="A1348">
        <v>101347</v>
      </c>
      <c r="B1348">
        <v>15760</v>
      </c>
      <c r="C1348" t="s">
        <v>313</v>
      </c>
      <c r="D1348" t="s">
        <v>52</v>
      </c>
      <c r="E1348" t="s">
        <v>16</v>
      </c>
      <c r="F1348" t="s">
        <v>44</v>
      </c>
      <c r="G1348" t="s">
        <v>18</v>
      </c>
      <c r="H1348">
        <v>18420</v>
      </c>
      <c r="I1348">
        <v>11448.08</v>
      </c>
      <c r="J1348">
        <v>11448.08</v>
      </c>
      <c r="K1348">
        <v>6971.92</v>
      </c>
      <c r="L1348">
        <v>6971.92</v>
      </c>
      <c r="M1348" t="s">
        <v>19</v>
      </c>
      <c r="N1348">
        <v>143</v>
      </c>
    </row>
    <row r="1349" spans="1:14" x14ac:dyDescent="0.35">
      <c r="A1349">
        <v>101348</v>
      </c>
      <c r="B1349">
        <v>10444</v>
      </c>
      <c r="C1349" t="s">
        <v>654</v>
      </c>
      <c r="D1349" t="s">
        <v>30</v>
      </c>
      <c r="E1349" t="s">
        <v>41</v>
      </c>
      <c r="F1349" t="s">
        <v>61</v>
      </c>
      <c r="G1349" t="s">
        <v>38</v>
      </c>
      <c r="H1349">
        <v>9309</v>
      </c>
      <c r="I1349">
        <v>6193.09</v>
      </c>
      <c r="J1349">
        <v>6193.09</v>
      </c>
      <c r="K1349">
        <v>3115.91</v>
      </c>
      <c r="L1349">
        <v>3115.91</v>
      </c>
      <c r="M1349" t="s">
        <v>19</v>
      </c>
      <c r="N1349">
        <v>125</v>
      </c>
    </row>
    <row r="1350" spans="1:14" x14ac:dyDescent="0.35">
      <c r="A1350">
        <v>101349</v>
      </c>
      <c r="B1350">
        <v>59012</v>
      </c>
      <c r="C1350" t="s">
        <v>40</v>
      </c>
      <c r="D1350" t="s">
        <v>49</v>
      </c>
      <c r="E1350" t="s">
        <v>16</v>
      </c>
      <c r="F1350" t="s">
        <v>61</v>
      </c>
      <c r="G1350" t="s">
        <v>45</v>
      </c>
      <c r="H1350">
        <v>22061</v>
      </c>
      <c r="I1350">
        <v>20552.41</v>
      </c>
      <c r="J1350">
        <v>12009.57</v>
      </c>
      <c r="K1350">
        <v>1508.59</v>
      </c>
      <c r="L1350">
        <v>10051.43</v>
      </c>
      <c r="M1350" t="s">
        <v>39</v>
      </c>
      <c r="N1350">
        <v>77</v>
      </c>
    </row>
    <row r="1351" spans="1:14" x14ac:dyDescent="0.35">
      <c r="A1351">
        <v>101350</v>
      </c>
      <c r="B1351">
        <v>70453</v>
      </c>
      <c r="C1351" t="s">
        <v>119</v>
      </c>
      <c r="D1351" t="s">
        <v>65</v>
      </c>
      <c r="E1351" t="s">
        <v>26</v>
      </c>
      <c r="F1351" t="s">
        <v>61</v>
      </c>
      <c r="G1351" t="s">
        <v>28</v>
      </c>
      <c r="H1351">
        <v>3032</v>
      </c>
      <c r="I1351">
        <v>1943.35</v>
      </c>
      <c r="J1351">
        <v>1943.35</v>
      </c>
      <c r="K1351">
        <v>1088.6500000000001</v>
      </c>
      <c r="L1351">
        <v>1088.6500000000001</v>
      </c>
      <c r="M1351" t="s">
        <v>19</v>
      </c>
      <c r="N1351">
        <v>25</v>
      </c>
    </row>
    <row r="1352" spans="1:14" x14ac:dyDescent="0.35">
      <c r="A1352">
        <v>101351</v>
      </c>
      <c r="B1352">
        <v>16214</v>
      </c>
      <c r="C1352" t="s">
        <v>100</v>
      </c>
      <c r="D1352" t="s">
        <v>30</v>
      </c>
      <c r="E1352" t="s">
        <v>43</v>
      </c>
      <c r="F1352" t="s">
        <v>35</v>
      </c>
      <c r="G1352" t="s">
        <v>24</v>
      </c>
      <c r="H1352">
        <v>23421</v>
      </c>
      <c r="I1352">
        <v>13188.37</v>
      </c>
      <c r="J1352">
        <v>0</v>
      </c>
      <c r="K1352">
        <v>10232.629999999999</v>
      </c>
      <c r="L1352">
        <v>23421</v>
      </c>
      <c r="M1352" t="s">
        <v>62</v>
      </c>
      <c r="N1352">
        <v>45</v>
      </c>
    </row>
    <row r="1353" spans="1:14" x14ac:dyDescent="0.35">
      <c r="A1353">
        <v>101352</v>
      </c>
      <c r="B1353">
        <v>87918</v>
      </c>
      <c r="C1353" t="s">
        <v>456</v>
      </c>
      <c r="D1353" t="s">
        <v>15</v>
      </c>
      <c r="E1353" t="s">
        <v>41</v>
      </c>
      <c r="F1353" t="s">
        <v>23</v>
      </c>
      <c r="G1353" t="s">
        <v>24</v>
      </c>
      <c r="H1353">
        <v>20756</v>
      </c>
      <c r="I1353">
        <v>15777.65</v>
      </c>
      <c r="J1353">
        <v>15777.65</v>
      </c>
      <c r="K1353">
        <v>4978.3500000000004</v>
      </c>
      <c r="L1353">
        <v>4978.3500000000004</v>
      </c>
      <c r="M1353" t="s">
        <v>19</v>
      </c>
      <c r="N1353">
        <v>61</v>
      </c>
    </row>
    <row r="1354" spans="1:14" x14ac:dyDescent="0.35">
      <c r="A1354">
        <v>101353</v>
      </c>
      <c r="B1354">
        <v>88762</v>
      </c>
      <c r="C1354" t="s">
        <v>299</v>
      </c>
      <c r="D1354" t="s">
        <v>49</v>
      </c>
      <c r="E1354" t="s">
        <v>37</v>
      </c>
      <c r="F1354" t="s">
        <v>61</v>
      </c>
      <c r="G1354" t="s">
        <v>18</v>
      </c>
      <c r="H1354">
        <v>18279</v>
      </c>
      <c r="I1354">
        <v>16457.91</v>
      </c>
      <c r="J1354">
        <v>16457.91</v>
      </c>
      <c r="K1354">
        <v>1821.09</v>
      </c>
      <c r="L1354">
        <v>1821.09</v>
      </c>
      <c r="M1354" t="s">
        <v>19</v>
      </c>
      <c r="N1354">
        <v>160</v>
      </c>
    </row>
    <row r="1355" spans="1:14" x14ac:dyDescent="0.35">
      <c r="A1355">
        <v>101354</v>
      </c>
      <c r="B1355">
        <v>60081</v>
      </c>
      <c r="C1355" t="s">
        <v>487</v>
      </c>
      <c r="D1355" t="s">
        <v>30</v>
      </c>
      <c r="E1355" t="s">
        <v>22</v>
      </c>
      <c r="F1355" t="s">
        <v>17</v>
      </c>
      <c r="G1355" t="s">
        <v>18</v>
      </c>
      <c r="H1355">
        <v>4072</v>
      </c>
      <c r="I1355">
        <v>3123.56</v>
      </c>
      <c r="J1355">
        <v>3123.56</v>
      </c>
      <c r="K1355">
        <v>948.44</v>
      </c>
      <c r="L1355">
        <v>948.44</v>
      </c>
      <c r="M1355" t="s">
        <v>19</v>
      </c>
      <c r="N1355">
        <v>54</v>
      </c>
    </row>
    <row r="1356" spans="1:14" x14ac:dyDescent="0.35">
      <c r="A1356">
        <v>101355</v>
      </c>
      <c r="B1356">
        <v>36819</v>
      </c>
      <c r="C1356" t="s">
        <v>279</v>
      </c>
      <c r="D1356" t="s">
        <v>15</v>
      </c>
      <c r="E1356" t="s">
        <v>26</v>
      </c>
      <c r="F1356" t="s">
        <v>23</v>
      </c>
      <c r="G1356" t="s">
        <v>38</v>
      </c>
      <c r="H1356">
        <v>18590</v>
      </c>
      <c r="I1356">
        <v>13207.81</v>
      </c>
      <c r="J1356">
        <v>7297.78</v>
      </c>
      <c r="K1356">
        <v>5382.19</v>
      </c>
      <c r="L1356">
        <v>11292.22</v>
      </c>
      <c r="M1356" t="s">
        <v>39</v>
      </c>
      <c r="N1356">
        <v>53</v>
      </c>
    </row>
    <row r="1357" spans="1:14" x14ac:dyDescent="0.35">
      <c r="A1357">
        <v>101356</v>
      </c>
      <c r="B1357">
        <v>83173</v>
      </c>
      <c r="C1357" t="s">
        <v>605</v>
      </c>
      <c r="D1357" t="s">
        <v>52</v>
      </c>
      <c r="E1357" t="s">
        <v>43</v>
      </c>
      <c r="F1357" t="s">
        <v>44</v>
      </c>
      <c r="G1357" t="s">
        <v>45</v>
      </c>
      <c r="H1357">
        <v>10964</v>
      </c>
      <c r="I1357">
        <v>9548.67</v>
      </c>
      <c r="J1357">
        <v>9548.67</v>
      </c>
      <c r="K1357">
        <v>1415.33</v>
      </c>
      <c r="L1357">
        <v>1415.33</v>
      </c>
      <c r="M1357" t="s">
        <v>19</v>
      </c>
      <c r="N1357">
        <v>177</v>
      </c>
    </row>
    <row r="1358" spans="1:14" x14ac:dyDescent="0.35">
      <c r="A1358">
        <v>101357</v>
      </c>
      <c r="B1358">
        <v>67443</v>
      </c>
      <c r="C1358" t="s">
        <v>40</v>
      </c>
      <c r="D1358" t="s">
        <v>15</v>
      </c>
      <c r="E1358" t="s">
        <v>31</v>
      </c>
      <c r="F1358" t="s">
        <v>61</v>
      </c>
      <c r="G1358" t="s">
        <v>72</v>
      </c>
      <c r="H1358">
        <v>10943</v>
      </c>
      <c r="I1358">
        <v>6091.23</v>
      </c>
      <c r="J1358">
        <v>6091.23</v>
      </c>
      <c r="K1358">
        <v>4851.7700000000004</v>
      </c>
      <c r="L1358">
        <v>4851.7700000000004</v>
      </c>
      <c r="M1358" t="s">
        <v>19</v>
      </c>
      <c r="N1358">
        <v>10</v>
      </c>
    </row>
    <row r="1359" spans="1:14" x14ac:dyDescent="0.35">
      <c r="A1359">
        <v>101358</v>
      </c>
      <c r="B1359">
        <v>75601</v>
      </c>
      <c r="C1359" t="s">
        <v>247</v>
      </c>
      <c r="D1359" t="s">
        <v>30</v>
      </c>
      <c r="E1359" t="s">
        <v>41</v>
      </c>
      <c r="F1359" t="s">
        <v>44</v>
      </c>
      <c r="G1359" t="s">
        <v>72</v>
      </c>
      <c r="H1359">
        <v>5055</v>
      </c>
      <c r="I1359">
        <v>4702.8100000000004</v>
      </c>
      <c r="J1359">
        <v>4191.25</v>
      </c>
      <c r="K1359">
        <v>352.19</v>
      </c>
      <c r="L1359">
        <v>863.75</v>
      </c>
      <c r="M1359" t="s">
        <v>39</v>
      </c>
      <c r="N1359">
        <v>167</v>
      </c>
    </row>
    <row r="1360" spans="1:14" x14ac:dyDescent="0.35">
      <c r="A1360">
        <v>101359</v>
      </c>
      <c r="B1360">
        <v>99624</v>
      </c>
      <c r="C1360" t="s">
        <v>226</v>
      </c>
      <c r="D1360" t="s">
        <v>21</v>
      </c>
      <c r="E1360" t="s">
        <v>37</v>
      </c>
      <c r="F1360" t="s">
        <v>35</v>
      </c>
      <c r="G1360" t="s">
        <v>47</v>
      </c>
      <c r="H1360">
        <v>19587</v>
      </c>
      <c r="I1360">
        <v>17562.03</v>
      </c>
      <c r="J1360">
        <v>17562.03</v>
      </c>
      <c r="K1360">
        <v>2024.97</v>
      </c>
      <c r="L1360">
        <v>2024.97</v>
      </c>
      <c r="M1360" t="s">
        <v>19</v>
      </c>
      <c r="N1360">
        <v>27</v>
      </c>
    </row>
    <row r="1361" spans="1:14" x14ac:dyDescent="0.35">
      <c r="A1361">
        <v>101360</v>
      </c>
      <c r="B1361">
        <v>61622</v>
      </c>
      <c r="C1361" t="s">
        <v>561</v>
      </c>
      <c r="D1361" t="s">
        <v>49</v>
      </c>
      <c r="E1361" t="s">
        <v>56</v>
      </c>
      <c r="F1361" t="s">
        <v>23</v>
      </c>
      <c r="G1361" t="s">
        <v>24</v>
      </c>
      <c r="H1361">
        <v>4575</v>
      </c>
      <c r="I1361">
        <v>3267.68</v>
      </c>
      <c r="J1361">
        <v>3267.68</v>
      </c>
      <c r="K1361">
        <v>1307.32</v>
      </c>
      <c r="L1361">
        <v>1307.32</v>
      </c>
      <c r="M1361" t="s">
        <v>19</v>
      </c>
      <c r="N1361">
        <v>69</v>
      </c>
    </row>
    <row r="1362" spans="1:14" x14ac:dyDescent="0.35">
      <c r="A1362">
        <v>101361</v>
      </c>
      <c r="B1362">
        <v>37103</v>
      </c>
      <c r="C1362" t="s">
        <v>541</v>
      </c>
      <c r="D1362" t="s">
        <v>34</v>
      </c>
      <c r="E1362" t="s">
        <v>37</v>
      </c>
      <c r="F1362" t="s">
        <v>23</v>
      </c>
      <c r="G1362" t="s">
        <v>24</v>
      </c>
      <c r="H1362">
        <v>15675</v>
      </c>
      <c r="I1362">
        <v>12766.43</v>
      </c>
      <c r="J1362">
        <v>3798.45</v>
      </c>
      <c r="K1362">
        <v>2908.57</v>
      </c>
      <c r="L1362">
        <v>11876.55</v>
      </c>
      <c r="M1362" t="s">
        <v>50</v>
      </c>
      <c r="N1362">
        <v>169</v>
      </c>
    </row>
    <row r="1363" spans="1:14" x14ac:dyDescent="0.35">
      <c r="A1363">
        <v>101362</v>
      </c>
      <c r="B1363">
        <v>11267</v>
      </c>
      <c r="C1363" t="s">
        <v>655</v>
      </c>
      <c r="D1363" t="s">
        <v>21</v>
      </c>
      <c r="E1363" t="s">
        <v>22</v>
      </c>
      <c r="F1363" t="s">
        <v>27</v>
      </c>
      <c r="G1363" t="s">
        <v>38</v>
      </c>
      <c r="H1363">
        <v>24428</v>
      </c>
      <c r="I1363">
        <v>18132.23</v>
      </c>
      <c r="J1363">
        <v>15206.25</v>
      </c>
      <c r="K1363">
        <v>6295.77</v>
      </c>
      <c r="L1363">
        <v>9221.75</v>
      </c>
      <c r="M1363" t="s">
        <v>39</v>
      </c>
      <c r="N1363">
        <v>55</v>
      </c>
    </row>
    <row r="1364" spans="1:14" x14ac:dyDescent="0.35">
      <c r="A1364">
        <v>101363</v>
      </c>
      <c r="B1364">
        <v>15899</v>
      </c>
      <c r="C1364" t="s">
        <v>367</v>
      </c>
      <c r="D1364" t="s">
        <v>30</v>
      </c>
      <c r="E1364" t="s">
        <v>37</v>
      </c>
      <c r="F1364" t="s">
        <v>61</v>
      </c>
      <c r="G1364" t="s">
        <v>72</v>
      </c>
      <c r="H1364">
        <v>10444</v>
      </c>
      <c r="I1364">
        <v>7789.6</v>
      </c>
      <c r="J1364">
        <v>5334.94</v>
      </c>
      <c r="K1364">
        <v>2654.4</v>
      </c>
      <c r="L1364">
        <v>5109.0600000000004</v>
      </c>
      <c r="M1364" t="s">
        <v>39</v>
      </c>
      <c r="N1364">
        <v>2</v>
      </c>
    </row>
    <row r="1365" spans="1:14" x14ac:dyDescent="0.35">
      <c r="A1365">
        <v>101364</v>
      </c>
      <c r="B1365">
        <v>21286</v>
      </c>
      <c r="C1365" t="s">
        <v>308</v>
      </c>
      <c r="D1365" t="s">
        <v>65</v>
      </c>
      <c r="E1365" t="s">
        <v>56</v>
      </c>
      <c r="F1365" t="s">
        <v>32</v>
      </c>
      <c r="G1365" t="s">
        <v>47</v>
      </c>
      <c r="H1365">
        <v>21135</v>
      </c>
      <c r="I1365">
        <v>14631.97</v>
      </c>
      <c r="J1365">
        <v>14631.97</v>
      </c>
      <c r="K1365">
        <v>6503.03</v>
      </c>
      <c r="L1365">
        <v>6503.03</v>
      </c>
      <c r="M1365" t="s">
        <v>19</v>
      </c>
      <c r="N1365">
        <v>176</v>
      </c>
    </row>
    <row r="1366" spans="1:14" x14ac:dyDescent="0.35">
      <c r="A1366">
        <v>101365</v>
      </c>
      <c r="B1366">
        <v>25542</v>
      </c>
      <c r="C1366" t="s">
        <v>426</v>
      </c>
      <c r="D1366" t="s">
        <v>49</v>
      </c>
      <c r="E1366" t="s">
        <v>22</v>
      </c>
      <c r="F1366" t="s">
        <v>44</v>
      </c>
      <c r="G1366" t="s">
        <v>28</v>
      </c>
      <c r="H1366">
        <v>3592</v>
      </c>
      <c r="I1366">
        <v>2661.61</v>
      </c>
      <c r="J1366">
        <v>2661.61</v>
      </c>
      <c r="K1366">
        <v>930.39</v>
      </c>
      <c r="L1366">
        <v>930.39</v>
      </c>
      <c r="M1366" t="s">
        <v>19</v>
      </c>
      <c r="N1366">
        <v>99</v>
      </c>
    </row>
    <row r="1367" spans="1:14" x14ac:dyDescent="0.35">
      <c r="A1367">
        <v>101366</v>
      </c>
      <c r="B1367">
        <v>48705</v>
      </c>
      <c r="C1367" t="s">
        <v>656</v>
      </c>
      <c r="D1367" t="s">
        <v>52</v>
      </c>
      <c r="E1367" t="s">
        <v>41</v>
      </c>
      <c r="F1367" t="s">
        <v>32</v>
      </c>
      <c r="G1367" t="s">
        <v>72</v>
      </c>
      <c r="H1367">
        <v>22437</v>
      </c>
      <c r="I1367">
        <v>18179.36</v>
      </c>
      <c r="J1367">
        <v>16166.2</v>
      </c>
      <c r="K1367">
        <v>4257.6400000000003</v>
      </c>
      <c r="L1367">
        <v>6270.8</v>
      </c>
      <c r="M1367" t="s">
        <v>39</v>
      </c>
      <c r="N1367">
        <v>59</v>
      </c>
    </row>
    <row r="1368" spans="1:14" x14ac:dyDescent="0.35">
      <c r="A1368">
        <v>101367</v>
      </c>
      <c r="B1368">
        <v>23401</v>
      </c>
      <c r="C1368" t="s">
        <v>238</v>
      </c>
      <c r="D1368" t="s">
        <v>65</v>
      </c>
      <c r="E1368" t="s">
        <v>16</v>
      </c>
      <c r="F1368" t="s">
        <v>27</v>
      </c>
      <c r="G1368" t="s">
        <v>45</v>
      </c>
      <c r="H1368">
        <v>18461</v>
      </c>
      <c r="I1368">
        <v>11158.42</v>
      </c>
      <c r="J1368">
        <v>11158.42</v>
      </c>
      <c r="K1368">
        <v>7302.58</v>
      </c>
      <c r="L1368">
        <v>7302.58</v>
      </c>
      <c r="M1368" t="s">
        <v>19</v>
      </c>
      <c r="N1368">
        <v>112</v>
      </c>
    </row>
    <row r="1369" spans="1:14" x14ac:dyDescent="0.35">
      <c r="A1369">
        <v>101368</v>
      </c>
      <c r="B1369">
        <v>54526</v>
      </c>
      <c r="C1369" t="s">
        <v>568</v>
      </c>
      <c r="D1369" t="s">
        <v>52</v>
      </c>
      <c r="E1369" t="s">
        <v>22</v>
      </c>
      <c r="F1369" t="s">
        <v>17</v>
      </c>
      <c r="G1369" t="s">
        <v>28</v>
      </c>
      <c r="H1369">
        <v>23680</v>
      </c>
      <c r="I1369">
        <v>21162.28</v>
      </c>
      <c r="J1369">
        <v>16403.400000000001</v>
      </c>
      <c r="K1369">
        <v>2517.7199999999998</v>
      </c>
      <c r="L1369">
        <v>7276.6</v>
      </c>
      <c r="M1369" t="s">
        <v>39</v>
      </c>
      <c r="N1369">
        <v>171</v>
      </c>
    </row>
    <row r="1370" spans="1:14" x14ac:dyDescent="0.35">
      <c r="A1370">
        <v>101369</v>
      </c>
      <c r="B1370">
        <v>34128</v>
      </c>
      <c r="C1370" t="s">
        <v>657</v>
      </c>
      <c r="D1370" t="s">
        <v>30</v>
      </c>
      <c r="E1370" t="s">
        <v>31</v>
      </c>
      <c r="F1370" t="s">
        <v>61</v>
      </c>
      <c r="G1370" t="s">
        <v>28</v>
      </c>
      <c r="H1370">
        <v>11975</v>
      </c>
      <c r="I1370">
        <v>7586.56</v>
      </c>
      <c r="J1370">
        <v>7586.56</v>
      </c>
      <c r="K1370">
        <v>4388.4399999999996</v>
      </c>
      <c r="L1370">
        <v>4388.4399999999996</v>
      </c>
      <c r="M1370" t="s">
        <v>19</v>
      </c>
      <c r="N1370">
        <v>20</v>
      </c>
    </row>
    <row r="1371" spans="1:14" x14ac:dyDescent="0.35">
      <c r="A1371">
        <v>101370</v>
      </c>
      <c r="B1371">
        <v>62659</v>
      </c>
      <c r="C1371" t="s">
        <v>658</v>
      </c>
      <c r="D1371" t="s">
        <v>30</v>
      </c>
      <c r="E1371" t="s">
        <v>22</v>
      </c>
      <c r="F1371" t="s">
        <v>44</v>
      </c>
      <c r="G1371" t="s">
        <v>47</v>
      </c>
      <c r="H1371">
        <v>18070</v>
      </c>
      <c r="I1371">
        <v>16382.44</v>
      </c>
      <c r="J1371">
        <v>13193.83</v>
      </c>
      <c r="K1371">
        <v>1687.56</v>
      </c>
      <c r="L1371">
        <v>4876.17</v>
      </c>
      <c r="M1371" t="s">
        <v>39</v>
      </c>
      <c r="N1371">
        <v>117</v>
      </c>
    </row>
    <row r="1372" spans="1:14" x14ac:dyDescent="0.35">
      <c r="A1372">
        <v>101371</v>
      </c>
      <c r="B1372">
        <v>18422</v>
      </c>
      <c r="C1372" t="s">
        <v>224</v>
      </c>
      <c r="D1372" t="s">
        <v>21</v>
      </c>
      <c r="E1372" t="s">
        <v>22</v>
      </c>
      <c r="F1372" t="s">
        <v>44</v>
      </c>
      <c r="G1372" t="s">
        <v>38</v>
      </c>
      <c r="H1372">
        <v>16280</v>
      </c>
      <c r="I1372">
        <v>13648.68</v>
      </c>
      <c r="J1372">
        <v>13648.68</v>
      </c>
      <c r="K1372">
        <v>2631.32</v>
      </c>
      <c r="L1372">
        <v>2631.32</v>
      </c>
      <c r="M1372" t="s">
        <v>19</v>
      </c>
      <c r="N1372">
        <v>41</v>
      </c>
    </row>
    <row r="1373" spans="1:14" x14ac:dyDescent="0.35">
      <c r="A1373">
        <v>101372</v>
      </c>
      <c r="B1373">
        <v>41141</v>
      </c>
      <c r="C1373" t="s">
        <v>659</v>
      </c>
      <c r="D1373" t="s">
        <v>15</v>
      </c>
      <c r="E1373" t="s">
        <v>22</v>
      </c>
      <c r="F1373" t="s">
        <v>17</v>
      </c>
      <c r="G1373" t="s">
        <v>28</v>
      </c>
      <c r="H1373">
        <v>14295</v>
      </c>
      <c r="I1373">
        <v>10285</v>
      </c>
      <c r="J1373">
        <v>0</v>
      </c>
      <c r="K1373">
        <v>4010</v>
      </c>
      <c r="L1373">
        <v>14295</v>
      </c>
      <c r="M1373" t="s">
        <v>62</v>
      </c>
      <c r="N1373">
        <v>95</v>
      </c>
    </row>
    <row r="1374" spans="1:14" x14ac:dyDescent="0.35">
      <c r="A1374">
        <v>101373</v>
      </c>
      <c r="B1374">
        <v>69042</v>
      </c>
      <c r="C1374" t="s">
        <v>579</v>
      </c>
      <c r="D1374" t="s">
        <v>34</v>
      </c>
      <c r="E1374" t="s">
        <v>22</v>
      </c>
      <c r="F1374" t="s">
        <v>32</v>
      </c>
      <c r="G1374" t="s">
        <v>47</v>
      </c>
      <c r="H1374">
        <v>13862</v>
      </c>
      <c r="I1374">
        <v>9570.2000000000007</v>
      </c>
      <c r="J1374">
        <v>9570.2000000000007</v>
      </c>
      <c r="K1374">
        <v>4291.8</v>
      </c>
      <c r="L1374">
        <v>4291.8</v>
      </c>
      <c r="M1374" t="s">
        <v>19</v>
      </c>
      <c r="N1374">
        <v>26</v>
      </c>
    </row>
    <row r="1375" spans="1:14" x14ac:dyDescent="0.35">
      <c r="A1375">
        <v>101374</v>
      </c>
      <c r="B1375">
        <v>13795</v>
      </c>
      <c r="C1375" t="s">
        <v>606</v>
      </c>
      <c r="D1375" t="s">
        <v>49</v>
      </c>
      <c r="E1375" t="s">
        <v>56</v>
      </c>
      <c r="F1375" t="s">
        <v>44</v>
      </c>
      <c r="G1375" t="s">
        <v>24</v>
      </c>
      <c r="H1375">
        <v>22658</v>
      </c>
      <c r="I1375">
        <v>18579.900000000001</v>
      </c>
      <c r="J1375">
        <v>3368.76</v>
      </c>
      <c r="K1375">
        <v>4078.1</v>
      </c>
      <c r="L1375">
        <v>19289.240000000002</v>
      </c>
      <c r="M1375" t="s">
        <v>50</v>
      </c>
      <c r="N1375">
        <v>81</v>
      </c>
    </row>
    <row r="1376" spans="1:14" x14ac:dyDescent="0.35">
      <c r="A1376">
        <v>101375</v>
      </c>
      <c r="B1376">
        <v>89626</v>
      </c>
      <c r="C1376" t="s">
        <v>413</v>
      </c>
      <c r="D1376" t="s">
        <v>49</v>
      </c>
      <c r="E1376" t="s">
        <v>41</v>
      </c>
      <c r="F1376" t="s">
        <v>61</v>
      </c>
      <c r="G1376" t="s">
        <v>28</v>
      </c>
      <c r="H1376">
        <v>17736</v>
      </c>
      <c r="I1376">
        <v>16367.63</v>
      </c>
      <c r="J1376">
        <v>3129.27</v>
      </c>
      <c r="K1376">
        <v>1368.37</v>
      </c>
      <c r="L1376">
        <v>14606.73</v>
      </c>
      <c r="M1376" t="s">
        <v>50</v>
      </c>
      <c r="N1376">
        <v>86</v>
      </c>
    </row>
    <row r="1377" spans="1:14" x14ac:dyDescent="0.35">
      <c r="A1377">
        <v>101376</v>
      </c>
      <c r="B1377">
        <v>67282</v>
      </c>
      <c r="C1377" t="s">
        <v>376</v>
      </c>
      <c r="D1377" t="s">
        <v>52</v>
      </c>
      <c r="E1377" t="s">
        <v>41</v>
      </c>
      <c r="F1377" t="s">
        <v>23</v>
      </c>
      <c r="G1377" t="s">
        <v>38</v>
      </c>
      <c r="H1377">
        <v>22149</v>
      </c>
      <c r="I1377">
        <v>20063.21</v>
      </c>
      <c r="J1377">
        <v>20063.21</v>
      </c>
      <c r="K1377">
        <v>2085.79</v>
      </c>
      <c r="L1377">
        <v>2085.79</v>
      </c>
      <c r="M1377" t="s">
        <v>19</v>
      </c>
      <c r="N1377">
        <v>107</v>
      </c>
    </row>
    <row r="1378" spans="1:14" x14ac:dyDescent="0.35">
      <c r="A1378">
        <v>101377</v>
      </c>
      <c r="B1378">
        <v>71177</v>
      </c>
      <c r="C1378" t="s">
        <v>96</v>
      </c>
      <c r="D1378" t="s">
        <v>52</v>
      </c>
      <c r="E1378" t="s">
        <v>41</v>
      </c>
      <c r="F1378" t="s">
        <v>44</v>
      </c>
      <c r="G1378" t="s">
        <v>72</v>
      </c>
      <c r="H1378">
        <v>22014</v>
      </c>
      <c r="I1378">
        <v>20447.12</v>
      </c>
      <c r="J1378">
        <v>20447.12</v>
      </c>
      <c r="K1378">
        <v>1566.88</v>
      </c>
      <c r="L1378">
        <v>1566.88</v>
      </c>
      <c r="M1378" t="s">
        <v>19</v>
      </c>
      <c r="N1378">
        <v>157</v>
      </c>
    </row>
    <row r="1379" spans="1:14" x14ac:dyDescent="0.35">
      <c r="A1379">
        <v>101378</v>
      </c>
      <c r="B1379">
        <v>96665</v>
      </c>
      <c r="C1379" t="s">
        <v>466</v>
      </c>
      <c r="D1379" t="s">
        <v>15</v>
      </c>
      <c r="E1379" t="s">
        <v>43</v>
      </c>
      <c r="F1379" t="s">
        <v>23</v>
      </c>
      <c r="G1379" t="s">
        <v>18</v>
      </c>
      <c r="H1379">
        <v>17937</v>
      </c>
      <c r="I1379">
        <v>15861.75</v>
      </c>
      <c r="J1379">
        <v>15861.75</v>
      </c>
      <c r="K1379">
        <v>2075.25</v>
      </c>
      <c r="L1379">
        <v>2075.25</v>
      </c>
      <c r="M1379" t="s">
        <v>19</v>
      </c>
      <c r="N1379">
        <v>71</v>
      </c>
    </row>
    <row r="1380" spans="1:14" x14ac:dyDescent="0.35">
      <c r="A1380">
        <v>101379</v>
      </c>
      <c r="B1380">
        <v>52683</v>
      </c>
      <c r="C1380" t="s">
        <v>263</v>
      </c>
      <c r="D1380" t="s">
        <v>30</v>
      </c>
      <c r="E1380" t="s">
        <v>41</v>
      </c>
      <c r="F1380" t="s">
        <v>35</v>
      </c>
      <c r="G1380" t="s">
        <v>72</v>
      </c>
      <c r="H1380">
        <v>23718</v>
      </c>
      <c r="I1380">
        <v>20498.36</v>
      </c>
      <c r="J1380">
        <v>9677.33</v>
      </c>
      <c r="K1380">
        <v>3219.64</v>
      </c>
      <c r="L1380">
        <v>14040.67</v>
      </c>
      <c r="M1380" t="s">
        <v>39</v>
      </c>
      <c r="N1380">
        <v>100</v>
      </c>
    </row>
    <row r="1381" spans="1:14" x14ac:dyDescent="0.35">
      <c r="A1381">
        <v>101380</v>
      </c>
      <c r="B1381">
        <v>86020</v>
      </c>
      <c r="C1381" t="s">
        <v>467</v>
      </c>
      <c r="D1381" t="s">
        <v>52</v>
      </c>
      <c r="E1381" t="s">
        <v>22</v>
      </c>
      <c r="F1381" t="s">
        <v>44</v>
      </c>
      <c r="G1381" t="s">
        <v>72</v>
      </c>
      <c r="H1381">
        <v>5389</v>
      </c>
      <c r="I1381">
        <v>3059.21</v>
      </c>
      <c r="J1381">
        <v>3059.21</v>
      </c>
      <c r="K1381">
        <v>2329.79</v>
      </c>
      <c r="L1381">
        <v>2329.79</v>
      </c>
      <c r="M1381" t="s">
        <v>19</v>
      </c>
      <c r="N1381">
        <v>153</v>
      </c>
    </row>
    <row r="1382" spans="1:14" x14ac:dyDescent="0.35">
      <c r="A1382">
        <v>101381</v>
      </c>
      <c r="B1382">
        <v>29847</v>
      </c>
      <c r="C1382" t="s">
        <v>660</v>
      </c>
      <c r="D1382" t="s">
        <v>15</v>
      </c>
      <c r="E1382" t="s">
        <v>41</v>
      </c>
      <c r="F1382" t="s">
        <v>35</v>
      </c>
      <c r="G1382" t="s">
        <v>38</v>
      </c>
      <c r="H1382">
        <v>2856</v>
      </c>
      <c r="I1382">
        <v>2506.92</v>
      </c>
      <c r="J1382">
        <v>0</v>
      </c>
      <c r="K1382">
        <v>349.08</v>
      </c>
      <c r="L1382">
        <v>2856</v>
      </c>
      <c r="M1382" t="s">
        <v>62</v>
      </c>
      <c r="N1382">
        <v>39</v>
      </c>
    </row>
    <row r="1383" spans="1:14" x14ac:dyDescent="0.35">
      <c r="A1383">
        <v>101382</v>
      </c>
      <c r="B1383">
        <v>22366</v>
      </c>
      <c r="C1383" t="s">
        <v>210</v>
      </c>
      <c r="D1383" t="s">
        <v>21</v>
      </c>
      <c r="E1383" t="s">
        <v>41</v>
      </c>
      <c r="F1383" t="s">
        <v>32</v>
      </c>
      <c r="G1383" t="s">
        <v>24</v>
      </c>
      <c r="H1383">
        <v>24239</v>
      </c>
      <c r="I1383">
        <v>16388.77</v>
      </c>
      <c r="J1383">
        <v>16388.77</v>
      </c>
      <c r="K1383">
        <v>7850.23</v>
      </c>
      <c r="L1383">
        <v>7850.23</v>
      </c>
      <c r="M1383" t="s">
        <v>19</v>
      </c>
      <c r="N1383">
        <v>113</v>
      </c>
    </row>
    <row r="1384" spans="1:14" x14ac:dyDescent="0.35">
      <c r="A1384">
        <v>101383</v>
      </c>
      <c r="B1384">
        <v>53632</v>
      </c>
      <c r="C1384" t="s">
        <v>661</v>
      </c>
      <c r="D1384" t="s">
        <v>34</v>
      </c>
      <c r="E1384" t="s">
        <v>37</v>
      </c>
      <c r="F1384" t="s">
        <v>44</v>
      </c>
      <c r="G1384" t="s">
        <v>45</v>
      </c>
      <c r="H1384">
        <v>23700</v>
      </c>
      <c r="I1384">
        <v>18163.689999999999</v>
      </c>
      <c r="J1384">
        <v>14082.71</v>
      </c>
      <c r="K1384">
        <v>5536.31</v>
      </c>
      <c r="L1384">
        <v>9617.2900000000009</v>
      </c>
      <c r="M1384" t="s">
        <v>39</v>
      </c>
      <c r="N1384">
        <v>170</v>
      </c>
    </row>
    <row r="1385" spans="1:14" x14ac:dyDescent="0.35">
      <c r="A1385">
        <v>101384</v>
      </c>
      <c r="B1385">
        <v>28190</v>
      </c>
      <c r="C1385" t="s">
        <v>58</v>
      </c>
      <c r="D1385" t="s">
        <v>52</v>
      </c>
      <c r="E1385" t="s">
        <v>31</v>
      </c>
      <c r="F1385" t="s">
        <v>35</v>
      </c>
      <c r="G1385" t="s">
        <v>45</v>
      </c>
      <c r="H1385">
        <v>13134</v>
      </c>
      <c r="I1385">
        <v>8273.8799999999992</v>
      </c>
      <c r="J1385">
        <v>3585.91</v>
      </c>
      <c r="K1385">
        <v>4860.12</v>
      </c>
      <c r="L1385">
        <v>9548.09</v>
      </c>
      <c r="M1385" t="s">
        <v>39</v>
      </c>
      <c r="N1385">
        <v>76</v>
      </c>
    </row>
    <row r="1386" spans="1:14" x14ac:dyDescent="0.35">
      <c r="A1386">
        <v>101385</v>
      </c>
      <c r="B1386">
        <v>34547</v>
      </c>
      <c r="C1386" t="s">
        <v>329</v>
      </c>
      <c r="D1386" t="s">
        <v>21</v>
      </c>
      <c r="E1386" t="s">
        <v>56</v>
      </c>
      <c r="F1386" t="s">
        <v>27</v>
      </c>
      <c r="G1386" t="s">
        <v>45</v>
      </c>
      <c r="H1386">
        <v>4551</v>
      </c>
      <c r="I1386">
        <v>2906.84</v>
      </c>
      <c r="J1386">
        <v>1415.71</v>
      </c>
      <c r="K1386">
        <v>1644.16</v>
      </c>
      <c r="L1386">
        <v>3135.29</v>
      </c>
      <c r="M1386" t="s">
        <v>39</v>
      </c>
      <c r="N1386">
        <v>122</v>
      </c>
    </row>
    <row r="1387" spans="1:14" x14ac:dyDescent="0.35">
      <c r="A1387">
        <v>101386</v>
      </c>
      <c r="B1387">
        <v>93105</v>
      </c>
      <c r="C1387" t="s">
        <v>564</v>
      </c>
      <c r="D1387" t="s">
        <v>52</v>
      </c>
      <c r="E1387" t="s">
        <v>26</v>
      </c>
      <c r="F1387" t="s">
        <v>27</v>
      </c>
      <c r="G1387" t="s">
        <v>28</v>
      </c>
      <c r="H1387">
        <v>14109</v>
      </c>
      <c r="I1387">
        <v>8414.09</v>
      </c>
      <c r="J1387">
        <v>1211.08</v>
      </c>
      <c r="K1387">
        <v>5694.91</v>
      </c>
      <c r="L1387">
        <v>12897.92</v>
      </c>
      <c r="M1387" t="s">
        <v>50</v>
      </c>
      <c r="N1387">
        <v>91</v>
      </c>
    </row>
    <row r="1388" spans="1:14" x14ac:dyDescent="0.35">
      <c r="A1388">
        <v>101387</v>
      </c>
      <c r="B1388">
        <v>44037</v>
      </c>
      <c r="C1388" t="s">
        <v>154</v>
      </c>
      <c r="D1388" t="s">
        <v>49</v>
      </c>
      <c r="E1388" t="s">
        <v>37</v>
      </c>
      <c r="F1388" t="s">
        <v>17</v>
      </c>
      <c r="G1388" t="s">
        <v>24</v>
      </c>
      <c r="H1388">
        <v>5148</v>
      </c>
      <c r="I1388">
        <v>3423.47</v>
      </c>
      <c r="J1388">
        <v>0</v>
      </c>
      <c r="K1388">
        <v>1724.53</v>
      </c>
      <c r="L1388">
        <v>5148</v>
      </c>
      <c r="M1388" t="s">
        <v>62</v>
      </c>
      <c r="N1388">
        <v>24</v>
      </c>
    </row>
    <row r="1389" spans="1:14" x14ac:dyDescent="0.35">
      <c r="A1389">
        <v>101388</v>
      </c>
      <c r="B1389">
        <v>53706</v>
      </c>
      <c r="C1389" t="s">
        <v>599</v>
      </c>
      <c r="D1389" t="s">
        <v>34</v>
      </c>
      <c r="E1389" t="s">
        <v>41</v>
      </c>
      <c r="F1389" t="s">
        <v>35</v>
      </c>
      <c r="G1389" t="s">
        <v>45</v>
      </c>
      <c r="H1389">
        <v>12720</v>
      </c>
      <c r="I1389">
        <v>10686.82</v>
      </c>
      <c r="J1389">
        <v>7447.42</v>
      </c>
      <c r="K1389">
        <v>2033.18</v>
      </c>
      <c r="L1389">
        <v>5272.58</v>
      </c>
      <c r="M1389" t="s">
        <v>39</v>
      </c>
      <c r="N1389">
        <v>160</v>
      </c>
    </row>
    <row r="1390" spans="1:14" x14ac:dyDescent="0.35">
      <c r="A1390">
        <v>101389</v>
      </c>
      <c r="B1390">
        <v>62230</v>
      </c>
      <c r="C1390" t="s">
        <v>540</v>
      </c>
      <c r="D1390" t="s">
        <v>52</v>
      </c>
      <c r="E1390" t="s">
        <v>22</v>
      </c>
      <c r="F1390" t="s">
        <v>23</v>
      </c>
      <c r="G1390" t="s">
        <v>45</v>
      </c>
      <c r="H1390">
        <v>5113</v>
      </c>
      <c r="I1390">
        <v>3264.9</v>
      </c>
      <c r="J1390">
        <v>3264.9</v>
      </c>
      <c r="K1390">
        <v>1848.1</v>
      </c>
      <c r="L1390">
        <v>1848.1</v>
      </c>
      <c r="M1390" t="s">
        <v>19</v>
      </c>
      <c r="N1390">
        <v>22</v>
      </c>
    </row>
    <row r="1391" spans="1:14" x14ac:dyDescent="0.35">
      <c r="A1391">
        <v>101390</v>
      </c>
      <c r="B1391">
        <v>65391</v>
      </c>
      <c r="C1391" t="s">
        <v>109</v>
      </c>
      <c r="D1391" t="s">
        <v>30</v>
      </c>
      <c r="E1391" t="s">
        <v>43</v>
      </c>
      <c r="F1391" t="s">
        <v>32</v>
      </c>
      <c r="G1391" t="s">
        <v>28</v>
      </c>
      <c r="H1391">
        <v>24777</v>
      </c>
      <c r="I1391">
        <v>18202.07</v>
      </c>
      <c r="J1391">
        <v>18202.07</v>
      </c>
      <c r="K1391">
        <v>6574.93</v>
      </c>
      <c r="L1391">
        <v>6574.93</v>
      </c>
      <c r="M1391" t="s">
        <v>19</v>
      </c>
      <c r="N1391">
        <v>16</v>
      </c>
    </row>
    <row r="1392" spans="1:14" x14ac:dyDescent="0.35">
      <c r="A1392">
        <v>101391</v>
      </c>
      <c r="B1392">
        <v>56680</v>
      </c>
      <c r="C1392" t="s">
        <v>265</v>
      </c>
      <c r="D1392" t="s">
        <v>15</v>
      </c>
      <c r="E1392" t="s">
        <v>22</v>
      </c>
      <c r="F1392" t="s">
        <v>61</v>
      </c>
      <c r="G1392" t="s">
        <v>28</v>
      </c>
      <c r="H1392">
        <v>1432</v>
      </c>
      <c r="I1392">
        <v>1264</v>
      </c>
      <c r="J1392">
        <v>1264</v>
      </c>
      <c r="K1392">
        <v>168</v>
      </c>
      <c r="L1392">
        <v>168</v>
      </c>
      <c r="M1392" t="s">
        <v>19</v>
      </c>
      <c r="N1392">
        <v>75</v>
      </c>
    </row>
    <row r="1393" spans="1:14" x14ac:dyDescent="0.35">
      <c r="A1393">
        <v>101392</v>
      </c>
      <c r="B1393">
        <v>57214</v>
      </c>
      <c r="C1393" t="s">
        <v>390</v>
      </c>
      <c r="D1393" t="s">
        <v>65</v>
      </c>
      <c r="E1393" t="s">
        <v>56</v>
      </c>
      <c r="F1393" t="s">
        <v>44</v>
      </c>
      <c r="G1393" t="s">
        <v>45</v>
      </c>
      <c r="H1393">
        <v>12338</v>
      </c>
      <c r="I1393">
        <v>6859.03</v>
      </c>
      <c r="J1393">
        <v>6859.03</v>
      </c>
      <c r="K1393">
        <v>5478.97</v>
      </c>
      <c r="L1393">
        <v>5478.97</v>
      </c>
      <c r="M1393" t="s">
        <v>19</v>
      </c>
      <c r="N1393">
        <v>177</v>
      </c>
    </row>
    <row r="1394" spans="1:14" x14ac:dyDescent="0.35">
      <c r="A1394">
        <v>101393</v>
      </c>
      <c r="B1394">
        <v>83046</v>
      </c>
      <c r="C1394" t="s">
        <v>267</v>
      </c>
      <c r="D1394" t="s">
        <v>15</v>
      </c>
      <c r="E1394" t="s">
        <v>31</v>
      </c>
      <c r="F1394" t="s">
        <v>27</v>
      </c>
      <c r="G1394" t="s">
        <v>28</v>
      </c>
      <c r="H1394">
        <v>19752</v>
      </c>
      <c r="I1394">
        <v>14192.74</v>
      </c>
      <c r="J1394">
        <v>9218.34</v>
      </c>
      <c r="K1394">
        <v>5559.26</v>
      </c>
      <c r="L1394">
        <v>10533.66</v>
      </c>
      <c r="M1394" t="s">
        <v>39</v>
      </c>
      <c r="N1394">
        <v>81</v>
      </c>
    </row>
    <row r="1395" spans="1:14" x14ac:dyDescent="0.35">
      <c r="A1395">
        <v>101394</v>
      </c>
      <c r="B1395">
        <v>60805</v>
      </c>
      <c r="C1395" t="s">
        <v>237</v>
      </c>
      <c r="D1395" t="s">
        <v>15</v>
      </c>
      <c r="E1395" t="s">
        <v>56</v>
      </c>
      <c r="F1395" t="s">
        <v>27</v>
      </c>
      <c r="G1395" t="s">
        <v>24</v>
      </c>
      <c r="H1395">
        <v>2117</v>
      </c>
      <c r="I1395">
        <v>1315.32</v>
      </c>
      <c r="J1395">
        <v>595.69000000000005</v>
      </c>
      <c r="K1395">
        <v>801.68</v>
      </c>
      <c r="L1395">
        <v>1521.31</v>
      </c>
      <c r="M1395" t="s">
        <v>39</v>
      </c>
      <c r="N1395">
        <v>112</v>
      </c>
    </row>
    <row r="1396" spans="1:14" x14ac:dyDescent="0.35">
      <c r="A1396">
        <v>101395</v>
      </c>
      <c r="B1396">
        <v>78610</v>
      </c>
      <c r="C1396" t="s">
        <v>255</v>
      </c>
      <c r="D1396" t="s">
        <v>65</v>
      </c>
      <c r="E1396" t="s">
        <v>37</v>
      </c>
      <c r="F1396" t="s">
        <v>23</v>
      </c>
      <c r="G1396" t="s">
        <v>45</v>
      </c>
      <c r="H1396">
        <v>20052</v>
      </c>
      <c r="I1396">
        <v>17185.25</v>
      </c>
      <c r="J1396">
        <v>17185.25</v>
      </c>
      <c r="K1396">
        <v>2866.75</v>
      </c>
      <c r="L1396">
        <v>2866.75</v>
      </c>
      <c r="M1396" t="s">
        <v>19</v>
      </c>
      <c r="N1396">
        <v>138</v>
      </c>
    </row>
    <row r="1397" spans="1:14" x14ac:dyDescent="0.35">
      <c r="A1397">
        <v>101396</v>
      </c>
      <c r="B1397">
        <v>91544</v>
      </c>
      <c r="C1397" t="s">
        <v>257</v>
      </c>
      <c r="D1397" t="s">
        <v>15</v>
      </c>
      <c r="E1397" t="s">
        <v>26</v>
      </c>
      <c r="F1397" t="s">
        <v>35</v>
      </c>
      <c r="G1397" t="s">
        <v>18</v>
      </c>
      <c r="H1397">
        <v>11085</v>
      </c>
      <c r="I1397">
        <v>9932.69</v>
      </c>
      <c r="J1397">
        <v>9932.69</v>
      </c>
      <c r="K1397">
        <v>1152.31</v>
      </c>
      <c r="L1397">
        <v>1152.31</v>
      </c>
      <c r="M1397" t="s">
        <v>19</v>
      </c>
      <c r="N1397">
        <v>128</v>
      </c>
    </row>
    <row r="1398" spans="1:14" x14ac:dyDescent="0.35">
      <c r="A1398">
        <v>101397</v>
      </c>
      <c r="B1398">
        <v>11354</v>
      </c>
      <c r="C1398" t="s">
        <v>200</v>
      </c>
      <c r="D1398" t="s">
        <v>65</v>
      </c>
      <c r="E1398" t="s">
        <v>37</v>
      </c>
      <c r="F1398" t="s">
        <v>35</v>
      </c>
      <c r="G1398" t="s">
        <v>38</v>
      </c>
      <c r="H1398">
        <v>13886</v>
      </c>
      <c r="I1398">
        <v>11103.37</v>
      </c>
      <c r="J1398">
        <v>11103.37</v>
      </c>
      <c r="K1398">
        <v>2782.63</v>
      </c>
      <c r="L1398">
        <v>2782.63</v>
      </c>
      <c r="M1398" t="s">
        <v>19</v>
      </c>
      <c r="N1398">
        <v>83</v>
      </c>
    </row>
    <row r="1399" spans="1:14" x14ac:dyDescent="0.35">
      <c r="A1399">
        <v>101398</v>
      </c>
      <c r="B1399">
        <v>85545</v>
      </c>
      <c r="C1399" t="s">
        <v>42</v>
      </c>
      <c r="D1399" t="s">
        <v>34</v>
      </c>
      <c r="E1399" t="s">
        <v>37</v>
      </c>
      <c r="F1399" t="s">
        <v>23</v>
      </c>
      <c r="G1399" t="s">
        <v>45</v>
      </c>
      <c r="H1399">
        <v>17879</v>
      </c>
      <c r="I1399">
        <v>16169.25</v>
      </c>
      <c r="J1399">
        <v>0</v>
      </c>
      <c r="K1399">
        <v>1709.75</v>
      </c>
      <c r="L1399">
        <v>17879</v>
      </c>
      <c r="M1399" t="s">
        <v>62</v>
      </c>
      <c r="N1399">
        <v>27</v>
      </c>
    </row>
    <row r="1400" spans="1:14" x14ac:dyDescent="0.35">
      <c r="A1400">
        <v>101399</v>
      </c>
      <c r="B1400">
        <v>87544</v>
      </c>
      <c r="C1400" t="s">
        <v>93</v>
      </c>
      <c r="D1400" t="s">
        <v>34</v>
      </c>
      <c r="E1400" t="s">
        <v>56</v>
      </c>
      <c r="F1400" t="s">
        <v>23</v>
      </c>
      <c r="G1400" t="s">
        <v>47</v>
      </c>
      <c r="H1400">
        <v>20555</v>
      </c>
      <c r="I1400">
        <v>12686.55</v>
      </c>
      <c r="J1400">
        <v>5537.3</v>
      </c>
      <c r="K1400">
        <v>7868.45</v>
      </c>
      <c r="L1400">
        <v>15017.7</v>
      </c>
      <c r="M1400" t="s">
        <v>39</v>
      </c>
      <c r="N1400">
        <v>8</v>
      </c>
    </row>
    <row r="1401" spans="1:14" x14ac:dyDescent="0.35">
      <c r="A1401">
        <v>101400</v>
      </c>
      <c r="B1401">
        <v>47715</v>
      </c>
      <c r="C1401" t="s">
        <v>584</v>
      </c>
      <c r="D1401" t="s">
        <v>15</v>
      </c>
      <c r="E1401" t="s">
        <v>31</v>
      </c>
      <c r="F1401" t="s">
        <v>23</v>
      </c>
      <c r="G1401" t="s">
        <v>72</v>
      </c>
      <c r="H1401">
        <v>16748</v>
      </c>
      <c r="I1401">
        <v>13394.31</v>
      </c>
      <c r="J1401">
        <v>13394.31</v>
      </c>
      <c r="K1401">
        <v>3353.69</v>
      </c>
      <c r="L1401">
        <v>3353.69</v>
      </c>
      <c r="M1401" t="s">
        <v>19</v>
      </c>
      <c r="N1401">
        <v>156</v>
      </c>
    </row>
    <row r="1402" spans="1:14" x14ac:dyDescent="0.35">
      <c r="A1402">
        <v>101401</v>
      </c>
      <c r="B1402">
        <v>95394</v>
      </c>
      <c r="C1402" t="s">
        <v>398</v>
      </c>
      <c r="D1402" t="s">
        <v>34</v>
      </c>
      <c r="E1402" t="s">
        <v>37</v>
      </c>
      <c r="F1402" t="s">
        <v>35</v>
      </c>
      <c r="G1402" t="s">
        <v>47</v>
      </c>
      <c r="H1402">
        <v>4751</v>
      </c>
      <c r="I1402">
        <v>4098.88</v>
      </c>
      <c r="J1402">
        <v>4098.88</v>
      </c>
      <c r="K1402">
        <v>652.12</v>
      </c>
      <c r="L1402">
        <v>652.12</v>
      </c>
      <c r="M1402" t="s">
        <v>19</v>
      </c>
      <c r="N1402">
        <v>51</v>
      </c>
    </row>
    <row r="1403" spans="1:14" x14ac:dyDescent="0.35">
      <c r="A1403">
        <v>101402</v>
      </c>
      <c r="B1403">
        <v>53203</v>
      </c>
      <c r="C1403" t="s">
        <v>607</v>
      </c>
      <c r="D1403" t="s">
        <v>49</v>
      </c>
      <c r="E1403" t="s">
        <v>41</v>
      </c>
      <c r="F1403" t="s">
        <v>44</v>
      </c>
      <c r="G1403" t="s">
        <v>24</v>
      </c>
      <c r="H1403">
        <v>2336</v>
      </c>
      <c r="I1403">
        <v>2117.89</v>
      </c>
      <c r="J1403">
        <v>0</v>
      </c>
      <c r="K1403">
        <v>218.11</v>
      </c>
      <c r="L1403">
        <v>2336</v>
      </c>
      <c r="M1403" t="s">
        <v>62</v>
      </c>
      <c r="N1403">
        <v>88</v>
      </c>
    </row>
    <row r="1404" spans="1:14" x14ac:dyDescent="0.35">
      <c r="A1404">
        <v>101403</v>
      </c>
      <c r="B1404">
        <v>68458</v>
      </c>
      <c r="C1404" t="s">
        <v>144</v>
      </c>
      <c r="D1404" t="s">
        <v>49</v>
      </c>
      <c r="E1404" t="s">
        <v>31</v>
      </c>
      <c r="F1404" t="s">
        <v>27</v>
      </c>
      <c r="G1404" t="s">
        <v>45</v>
      </c>
      <c r="H1404">
        <v>23449</v>
      </c>
      <c r="I1404">
        <v>15070.35</v>
      </c>
      <c r="J1404">
        <v>15070.35</v>
      </c>
      <c r="K1404">
        <v>8378.65</v>
      </c>
      <c r="L1404">
        <v>8378.65</v>
      </c>
      <c r="M1404" t="s">
        <v>19</v>
      </c>
      <c r="N1404">
        <v>2</v>
      </c>
    </row>
    <row r="1405" spans="1:14" x14ac:dyDescent="0.35">
      <c r="A1405">
        <v>101404</v>
      </c>
      <c r="B1405">
        <v>77858</v>
      </c>
      <c r="C1405" t="s">
        <v>76</v>
      </c>
      <c r="D1405" t="s">
        <v>52</v>
      </c>
      <c r="E1405" t="s">
        <v>16</v>
      </c>
      <c r="F1405" t="s">
        <v>23</v>
      </c>
      <c r="G1405" t="s">
        <v>45</v>
      </c>
      <c r="H1405">
        <v>24519</v>
      </c>
      <c r="I1405">
        <v>16265.64</v>
      </c>
      <c r="J1405">
        <v>16265.64</v>
      </c>
      <c r="K1405">
        <v>8253.36</v>
      </c>
      <c r="L1405">
        <v>8253.36</v>
      </c>
      <c r="M1405" t="s">
        <v>19</v>
      </c>
      <c r="N1405">
        <v>152</v>
      </c>
    </row>
    <row r="1406" spans="1:14" x14ac:dyDescent="0.35">
      <c r="A1406">
        <v>101405</v>
      </c>
      <c r="B1406">
        <v>49799</v>
      </c>
      <c r="C1406" t="s">
        <v>281</v>
      </c>
      <c r="D1406" t="s">
        <v>34</v>
      </c>
      <c r="E1406" t="s">
        <v>41</v>
      </c>
      <c r="F1406" t="s">
        <v>32</v>
      </c>
      <c r="G1406" t="s">
        <v>24</v>
      </c>
      <c r="H1406">
        <v>9849</v>
      </c>
      <c r="I1406">
        <v>7889.54</v>
      </c>
      <c r="J1406">
        <v>7889.54</v>
      </c>
      <c r="K1406">
        <v>1959.46</v>
      </c>
      <c r="L1406">
        <v>1959.46</v>
      </c>
      <c r="M1406" t="s">
        <v>19</v>
      </c>
      <c r="N1406">
        <v>124</v>
      </c>
    </row>
    <row r="1407" spans="1:14" x14ac:dyDescent="0.35">
      <c r="A1407">
        <v>101406</v>
      </c>
      <c r="B1407">
        <v>92369</v>
      </c>
      <c r="C1407" t="s">
        <v>330</v>
      </c>
      <c r="D1407" t="s">
        <v>30</v>
      </c>
      <c r="E1407" t="s">
        <v>41</v>
      </c>
      <c r="F1407" t="s">
        <v>61</v>
      </c>
      <c r="G1407" t="s">
        <v>24</v>
      </c>
      <c r="H1407">
        <v>5401</v>
      </c>
      <c r="I1407">
        <v>4968.63</v>
      </c>
      <c r="J1407">
        <v>4968.63</v>
      </c>
      <c r="K1407">
        <v>432.37</v>
      </c>
      <c r="L1407">
        <v>432.37</v>
      </c>
      <c r="M1407" t="s">
        <v>19</v>
      </c>
      <c r="N1407">
        <v>63</v>
      </c>
    </row>
    <row r="1408" spans="1:14" x14ac:dyDescent="0.35">
      <c r="A1408">
        <v>101407</v>
      </c>
      <c r="B1408">
        <v>67544</v>
      </c>
      <c r="C1408" t="s">
        <v>521</v>
      </c>
      <c r="D1408" t="s">
        <v>34</v>
      </c>
      <c r="E1408" t="s">
        <v>22</v>
      </c>
      <c r="F1408" t="s">
        <v>27</v>
      </c>
      <c r="G1408" t="s">
        <v>72</v>
      </c>
      <c r="H1408">
        <v>8272</v>
      </c>
      <c r="I1408">
        <v>5341.93</v>
      </c>
      <c r="J1408">
        <v>3452.39</v>
      </c>
      <c r="K1408">
        <v>2930.07</v>
      </c>
      <c r="L1408">
        <v>4819.6099999999997</v>
      </c>
      <c r="M1408" t="s">
        <v>39</v>
      </c>
      <c r="N1408">
        <v>143</v>
      </c>
    </row>
    <row r="1409" spans="1:14" x14ac:dyDescent="0.35">
      <c r="A1409">
        <v>101408</v>
      </c>
      <c r="B1409">
        <v>37941</v>
      </c>
      <c r="C1409" t="s">
        <v>267</v>
      </c>
      <c r="D1409" t="s">
        <v>49</v>
      </c>
      <c r="E1409" t="s">
        <v>22</v>
      </c>
      <c r="F1409" t="s">
        <v>61</v>
      </c>
      <c r="G1409" t="s">
        <v>18</v>
      </c>
      <c r="H1409">
        <v>21971</v>
      </c>
      <c r="I1409">
        <v>16404.3</v>
      </c>
      <c r="J1409">
        <v>16404.3</v>
      </c>
      <c r="K1409">
        <v>5566.7</v>
      </c>
      <c r="L1409">
        <v>5566.7</v>
      </c>
      <c r="M1409" t="s">
        <v>19</v>
      </c>
      <c r="N1409">
        <v>109</v>
      </c>
    </row>
    <row r="1410" spans="1:14" x14ac:dyDescent="0.35">
      <c r="A1410">
        <v>101409</v>
      </c>
      <c r="B1410">
        <v>62315</v>
      </c>
      <c r="C1410" t="s">
        <v>492</v>
      </c>
      <c r="D1410" t="s">
        <v>34</v>
      </c>
      <c r="E1410" t="s">
        <v>43</v>
      </c>
      <c r="F1410" t="s">
        <v>35</v>
      </c>
      <c r="G1410" t="s">
        <v>72</v>
      </c>
      <c r="H1410">
        <v>5866</v>
      </c>
      <c r="I1410">
        <v>4563.05</v>
      </c>
      <c r="J1410">
        <v>2693.25</v>
      </c>
      <c r="K1410">
        <v>1302.95</v>
      </c>
      <c r="L1410">
        <v>3172.75</v>
      </c>
      <c r="M1410" t="s">
        <v>39</v>
      </c>
      <c r="N1410">
        <v>176</v>
      </c>
    </row>
    <row r="1411" spans="1:14" x14ac:dyDescent="0.35">
      <c r="A1411">
        <v>101410</v>
      </c>
      <c r="B1411">
        <v>78594</v>
      </c>
      <c r="C1411" t="s">
        <v>446</v>
      </c>
      <c r="D1411" t="s">
        <v>34</v>
      </c>
      <c r="E1411" t="s">
        <v>56</v>
      </c>
      <c r="F1411" t="s">
        <v>44</v>
      </c>
      <c r="G1411" t="s">
        <v>45</v>
      </c>
      <c r="H1411">
        <v>865</v>
      </c>
      <c r="I1411">
        <v>554.37</v>
      </c>
      <c r="J1411">
        <v>554.37</v>
      </c>
      <c r="K1411">
        <v>310.63</v>
      </c>
      <c r="L1411">
        <v>310.63</v>
      </c>
      <c r="M1411" t="s">
        <v>19</v>
      </c>
      <c r="N1411">
        <v>176</v>
      </c>
    </row>
    <row r="1412" spans="1:14" x14ac:dyDescent="0.35">
      <c r="A1412">
        <v>101411</v>
      </c>
      <c r="B1412">
        <v>61911</v>
      </c>
      <c r="C1412" t="s">
        <v>156</v>
      </c>
      <c r="D1412" t="s">
        <v>30</v>
      </c>
      <c r="E1412" t="s">
        <v>22</v>
      </c>
      <c r="F1412" t="s">
        <v>35</v>
      </c>
      <c r="G1412" t="s">
        <v>24</v>
      </c>
      <c r="H1412">
        <v>2646</v>
      </c>
      <c r="I1412">
        <v>1947.05</v>
      </c>
      <c r="J1412">
        <v>1947.05</v>
      </c>
      <c r="K1412">
        <v>698.95</v>
      </c>
      <c r="L1412">
        <v>698.95</v>
      </c>
      <c r="M1412" t="s">
        <v>19</v>
      </c>
      <c r="N1412">
        <v>110</v>
      </c>
    </row>
    <row r="1413" spans="1:14" x14ac:dyDescent="0.35">
      <c r="A1413">
        <v>101412</v>
      </c>
      <c r="B1413">
        <v>83677</v>
      </c>
      <c r="C1413" t="s">
        <v>48</v>
      </c>
      <c r="D1413" t="s">
        <v>65</v>
      </c>
      <c r="E1413" t="s">
        <v>22</v>
      </c>
      <c r="F1413" t="s">
        <v>35</v>
      </c>
      <c r="G1413" t="s">
        <v>47</v>
      </c>
      <c r="H1413">
        <v>5098</v>
      </c>
      <c r="I1413">
        <v>4768.55</v>
      </c>
      <c r="J1413">
        <v>0</v>
      </c>
      <c r="K1413">
        <v>329.45</v>
      </c>
      <c r="L1413">
        <v>5098</v>
      </c>
      <c r="M1413" t="s">
        <v>62</v>
      </c>
      <c r="N1413">
        <v>30</v>
      </c>
    </row>
    <row r="1414" spans="1:14" x14ac:dyDescent="0.35">
      <c r="A1414">
        <v>101413</v>
      </c>
      <c r="B1414">
        <v>10961</v>
      </c>
      <c r="C1414" t="s">
        <v>63</v>
      </c>
      <c r="D1414" t="s">
        <v>30</v>
      </c>
      <c r="E1414" t="s">
        <v>22</v>
      </c>
      <c r="F1414" t="s">
        <v>32</v>
      </c>
      <c r="G1414" t="s">
        <v>18</v>
      </c>
      <c r="H1414">
        <v>23760</v>
      </c>
      <c r="I1414">
        <v>19968.68</v>
      </c>
      <c r="J1414">
        <v>0</v>
      </c>
      <c r="K1414">
        <v>3791.32</v>
      </c>
      <c r="L1414">
        <v>23760</v>
      </c>
      <c r="M1414" t="s">
        <v>62</v>
      </c>
      <c r="N1414">
        <v>65</v>
      </c>
    </row>
    <row r="1415" spans="1:14" x14ac:dyDescent="0.35">
      <c r="A1415">
        <v>101414</v>
      </c>
      <c r="B1415">
        <v>69065</v>
      </c>
      <c r="C1415" t="s">
        <v>48</v>
      </c>
      <c r="D1415" t="s">
        <v>34</v>
      </c>
      <c r="E1415" t="s">
        <v>41</v>
      </c>
      <c r="F1415" t="s">
        <v>44</v>
      </c>
      <c r="G1415" t="s">
        <v>38</v>
      </c>
      <c r="H1415">
        <v>23055</v>
      </c>
      <c r="I1415">
        <v>20681.310000000001</v>
      </c>
      <c r="J1415">
        <v>20681.310000000001</v>
      </c>
      <c r="K1415">
        <v>2373.69</v>
      </c>
      <c r="L1415">
        <v>2373.69</v>
      </c>
      <c r="M1415" t="s">
        <v>19</v>
      </c>
      <c r="N1415">
        <v>147</v>
      </c>
    </row>
    <row r="1416" spans="1:14" x14ac:dyDescent="0.35">
      <c r="A1416">
        <v>101415</v>
      </c>
      <c r="B1416">
        <v>21643</v>
      </c>
      <c r="C1416" t="s">
        <v>204</v>
      </c>
      <c r="D1416" t="s">
        <v>30</v>
      </c>
      <c r="E1416" t="s">
        <v>16</v>
      </c>
      <c r="F1416" t="s">
        <v>54</v>
      </c>
      <c r="G1416" t="s">
        <v>24</v>
      </c>
      <c r="H1416">
        <v>11433</v>
      </c>
      <c r="I1416">
        <v>6545.21</v>
      </c>
      <c r="J1416">
        <v>4364.62</v>
      </c>
      <c r="K1416">
        <v>4887.79</v>
      </c>
      <c r="L1416">
        <v>7068.38</v>
      </c>
      <c r="M1416" t="s">
        <v>39</v>
      </c>
      <c r="N1416">
        <v>111</v>
      </c>
    </row>
    <row r="1417" spans="1:14" x14ac:dyDescent="0.35">
      <c r="A1417">
        <v>101416</v>
      </c>
      <c r="B1417">
        <v>60782</v>
      </c>
      <c r="C1417" t="s">
        <v>243</v>
      </c>
      <c r="D1417" t="s">
        <v>34</v>
      </c>
      <c r="E1417" t="s">
        <v>37</v>
      </c>
      <c r="F1417" t="s">
        <v>32</v>
      </c>
      <c r="G1417" t="s">
        <v>72</v>
      </c>
      <c r="H1417">
        <v>15736</v>
      </c>
      <c r="I1417">
        <v>13335.63</v>
      </c>
      <c r="J1417">
        <v>10380.65</v>
      </c>
      <c r="K1417">
        <v>2400.37</v>
      </c>
      <c r="L1417">
        <v>5355.35</v>
      </c>
      <c r="M1417" t="s">
        <v>39</v>
      </c>
      <c r="N1417">
        <v>130</v>
      </c>
    </row>
    <row r="1418" spans="1:14" x14ac:dyDescent="0.35">
      <c r="A1418">
        <v>101417</v>
      </c>
      <c r="B1418">
        <v>96451</v>
      </c>
      <c r="C1418" t="s">
        <v>431</v>
      </c>
      <c r="D1418" t="s">
        <v>15</v>
      </c>
      <c r="E1418" t="s">
        <v>37</v>
      </c>
      <c r="F1418" t="s">
        <v>35</v>
      </c>
      <c r="G1418" t="s">
        <v>24</v>
      </c>
      <c r="H1418">
        <v>11867</v>
      </c>
      <c r="I1418">
        <v>11067.15</v>
      </c>
      <c r="J1418">
        <v>11067.15</v>
      </c>
      <c r="K1418">
        <v>799.85</v>
      </c>
      <c r="L1418">
        <v>799.85</v>
      </c>
      <c r="M1418" t="s">
        <v>19</v>
      </c>
      <c r="N1418">
        <v>33</v>
      </c>
    </row>
    <row r="1419" spans="1:14" x14ac:dyDescent="0.35">
      <c r="A1419">
        <v>101418</v>
      </c>
      <c r="B1419">
        <v>25184</v>
      </c>
      <c r="C1419" t="s">
        <v>73</v>
      </c>
      <c r="D1419" t="s">
        <v>30</v>
      </c>
      <c r="E1419" t="s">
        <v>37</v>
      </c>
      <c r="F1419" t="s">
        <v>61</v>
      </c>
      <c r="G1419" t="s">
        <v>28</v>
      </c>
      <c r="H1419">
        <v>9034</v>
      </c>
      <c r="I1419">
        <v>8028.82</v>
      </c>
      <c r="J1419">
        <v>8028.82</v>
      </c>
      <c r="K1419">
        <v>1005.18</v>
      </c>
      <c r="L1419">
        <v>1005.18</v>
      </c>
      <c r="M1419" t="s">
        <v>19</v>
      </c>
      <c r="N1419">
        <v>135</v>
      </c>
    </row>
    <row r="1420" spans="1:14" x14ac:dyDescent="0.35">
      <c r="A1420">
        <v>101419</v>
      </c>
      <c r="B1420">
        <v>22786</v>
      </c>
      <c r="C1420" t="s">
        <v>542</v>
      </c>
      <c r="D1420" t="s">
        <v>21</v>
      </c>
      <c r="E1420" t="s">
        <v>16</v>
      </c>
      <c r="F1420" t="s">
        <v>44</v>
      </c>
      <c r="G1420" t="s">
        <v>47</v>
      </c>
      <c r="H1420">
        <v>11703</v>
      </c>
      <c r="I1420">
        <v>11035.4</v>
      </c>
      <c r="J1420">
        <v>11035.4</v>
      </c>
      <c r="K1420">
        <v>667.6</v>
      </c>
      <c r="L1420">
        <v>667.6</v>
      </c>
      <c r="M1420" t="s">
        <v>19</v>
      </c>
      <c r="N1420">
        <v>159</v>
      </c>
    </row>
    <row r="1421" spans="1:14" x14ac:dyDescent="0.35">
      <c r="A1421">
        <v>101420</v>
      </c>
      <c r="B1421">
        <v>10960</v>
      </c>
      <c r="C1421" t="s">
        <v>145</v>
      </c>
      <c r="D1421" t="s">
        <v>15</v>
      </c>
      <c r="E1421" t="s">
        <v>26</v>
      </c>
      <c r="F1421" t="s">
        <v>27</v>
      </c>
      <c r="G1421" t="s">
        <v>18</v>
      </c>
      <c r="H1421">
        <v>11569</v>
      </c>
      <c r="I1421">
        <v>7654.92</v>
      </c>
      <c r="J1421">
        <v>7654.92</v>
      </c>
      <c r="K1421">
        <v>3914.08</v>
      </c>
      <c r="L1421">
        <v>3914.08</v>
      </c>
      <c r="M1421" t="s">
        <v>19</v>
      </c>
      <c r="N1421">
        <v>74</v>
      </c>
    </row>
    <row r="1422" spans="1:14" x14ac:dyDescent="0.35">
      <c r="A1422">
        <v>101421</v>
      </c>
      <c r="B1422">
        <v>59191</v>
      </c>
      <c r="C1422" t="s">
        <v>662</v>
      </c>
      <c r="D1422" t="s">
        <v>49</v>
      </c>
      <c r="E1422" t="s">
        <v>56</v>
      </c>
      <c r="F1422" t="s">
        <v>27</v>
      </c>
      <c r="G1422" t="s">
        <v>38</v>
      </c>
      <c r="H1422">
        <v>10043</v>
      </c>
      <c r="I1422">
        <v>5787.07</v>
      </c>
      <c r="J1422">
        <v>5787.07</v>
      </c>
      <c r="K1422">
        <v>4255.93</v>
      </c>
      <c r="L1422">
        <v>4255.93</v>
      </c>
      <c r="M1422" t="s">
        <v>19</v>
      </c>
      <c r="N1422">
        <v>119</v>
      </c>
    </row>
    <row r="1423" spans="1:14" x14ac:dyDescent="0.35">
      <c r="A1423">
        <v>101422</v>
      </c>
      <c r="B1423">
        <v>23919</v>
      </c>
      <c r="C1423" t="s">
        <v>244</v>
      </c>
      <c r="D1423" t="s">
        <v>21</v>
      </c>
      <c r="E1423" t="s">
        <v>41</v>
      </c>
      <c r="F1423" t="s">
        <v>44</v>
      </c>
      <c r="G1423" t="s">
        <v>18</v>
      </c>
      <c r="H1423">
        <v>5463</v>
      </c>
      <c r="I1423">
        <v>4278.1099999999997</v>
      </c>
      <c r="J1423">
        <v>3410.37</v>
      </c>
      <c r="K1423">
        <v>1184.8900000000001</v>
      </c>
      <c r="L1423">
        <v>2052.63</v>
      </c>
      <c r="M1423" t="s">
        <v>39</v>
      </c>
      <c r="N1423">
        <v>39</v>
      </c>
    </row>
    <row r="1424" spans="1:14" x14ac:dyDescent="0.35">
      <c r="A1424">
        <v>101423</v>
      </c>
      <c r="B1424">
        <v>21673</v>
      </c>
      <c r="C1424" t="s">
        <v>229</v>
      </c>
      <c r="D1424" t="s">
        <v>30</v>
      </c>
      <c r="E1424" t="s">
        <v>41</v>
      </c>
      <c r="F1424" t="s">
        <v>27</v>
      </c>
      <c r="G1424" t="s">
        <v>47</v>
      </c>
      <c r="H1424">
        <v>6763</v>
      </c>
      <c r="I1424">
        <v>5891.13</v>
      </c>
      <c r="J1424">
        <v>5891.13</v>
      </c>
      <c r="K1424">
        <v>871.87</v>
      </c>
      <c r="L1424">
        <v>871.87</v>
      </c>
      <c r="M1424" t="s">
        <v>19</v>
      </c>
      <c r="N1424">
        <v>161</v>
      </c>
    </row>
    <row r="1425" spans="1:14" x14ac:dyDescent="0.35">
      <c r="A1425">
        <v>101424</v>
      </c>
      <c r="B1425">
        <v>44399</v>
      </c>
      <c r="C1425" t="s">
        <v>663</v>
      </c>
      <c r="D1425" t="s">
        <v>65</v>
      </c>
      <c r="E1425" t="s">
        <v>31</v>
      </c>
      <c r="F1425" t="s">
        <v>54</v>
      </c>
      <c r="G1425" t="s">
        <v>72</v>
      </c>
      <c r="H1425">
        <v>2883</v>
      </c>
      <c r="I1425">
        <v>2197.88</v>
      </c>
      <c r="J1425">
        <v>2197.88</v>
      </c>
      <c r="K1425">
        <v>685.12</v>
      </c>
      <c r="L1425">
        <v>685.12</v>
      </c>
      <c r="M1425" t="s">
        <v>19</v>
      </c>
      <c r="N1425">
        <v>101</v>
      </c>
    </row>
    <row r="1426" spans="1:14" x14ac:dyDescent="0.35">
      <c r="A1426">
        <v>101425</v>
      </c>
      <c r="B1426">
        <v>26844</v>
      </c>
      <c r="C1426" t="s">
        <v>80</v>
      </c>
      <c r="D1426" t="s">
        <v>52</v>
      </c>
      <c r="E1426" t="s">
        <v>43</v>
      </c>
      <c r="F1426" t="s">
        <v>17</v>
      </c>
      <c r="G1426" t="s">
        <v>28</v>
      </c>
      <c r="H1426">
        <v>23914</v>
      </c>
      <c r="I1426">
        <v>15760.33</v>
      </c>
      <c r="J1426">
        <v>15760.33</v>
      </c>
      <c r="K1426">
        <v>8153.67</v>
      </c>
      <c r="L1426">
        <v>8153.67</v>
      </c>
      <c r="M1426" t="s">
        <v>19</v>
      </c>
      <c r="N1426">
        <v>57</v>
      </c>
    </row>
    <row r="1427" spans="1:14" x14ac:dyDescent="0.35">
      <c r="A1427">
        <v>101426</v>
      </c>
      <c r="B1427">
        <v>17408</v>
      </c>
      <c r="C1427" t="s">
        <v>221</v>
      </c>
      <c r="D1427" t="s">
        <v>49</v>
      </c>
      <c r="E1427" t="s">
        <v>22</v>
      </c>
      <c r="F1427" t="s">
        <v>27</v>
      </c>
      <c r="G1427" t="s">
        <v>24</v>
      </c>
      <c r="H1427">
        <v>16016</v>
      </c>
      <c r="I1427">
        <v>12722.46</v>
      </c>
      <c r="J1427">
        <v>2281.79</v>
      </c>
      <c r="K1427">
        <v>3293.54</v>
      </c>
      <c r="L1427">
        <v>13734.21</v>
      </c>
      <c r="M1427" t="s">
        <v>50</v>
      </c>
      <c r="N1427">
        <v>91</v>
      </c>
    </row>
    <row r="1428" spans="1:14" x14ac:dyDescent="0.35">
      <c r="A1428">
        <v>101427</v>
      </c>
      <c r="B1428">
        <v>10542</v>
      </c>
      <c r="C1428" t="s">
        <v>626</v>
      </c>
      <c r="D1428" t="s">
        <v>30</v>
      </c>
      <c r="E1428" t="s">
        <v>16</v>
      </c>
      <c r="F1428" t="s">
        <v>61</v>
      </c>
      <c r="G1428" t="s">
        <v>28</v>
      </c>
      <c r="H1428">
        <v>22503</v>
      </c>
      <c r="I1428">
        <v>18293.2</v>
      </c>
      <c r="J1428">
        <v>18293.2</v>
      </c>
      <c r="K1428">
        <v>4209.8</v>
      </c>
      <c r="L1428">
        <v>4209.8</v>
      </c>
      <c r="M1428" t="s">
        <v>19</v>
      </c>
      <c r="N1428">
        <v>58</v>
      </c>
    </row>
    <row r="1429" spans="1:14" x14ac:dyDescent="0.35">
      <c r="A1429">
        <v>101428</v>
      </c>
      <c r="B1429">
        <v>48818</v>
      </c>
      <c r="C1429" t="s">
        <v>98</v>
      </c>
      <c r="D1429" t="s">
        <v>21</v>
      </c>
      <c r="E1429" t="s">
        <v>56</v>
      </c>
      <c r="F1429" t="s">
        <v>54</v>
      </c>
      <c r="G1429" t="s">
        <v>38</v>
      </c>
      <c r="H1429">
        <v>20160</v>
      </c>
      <c r="I1429">
        <v>13679</v>
      </c>
      <c r="J1429">
        <v>13679</v>
      </c>
      <c r="K1429">
        <v>6481</v>
      </c>
      <c r="L1429">
        <v>6481</v>
      </c>
      <c r="M1429" t="s">
        <v>19</v>
      </c>
      <c r="N1429">
        <v>73</v>
      </c>
    </row>
    <row r="1430" spans="1:14" x14ac:dyDescent="0.35">
      <c r="A1430">
        <v>101429</v>
      </c>
      <c r="B1430">
        <v>23057</v>
      </c>
      <c r="C1430" t="s">
        <v>370</v>
      </c>
      <c r="D1430" t="s">
        <v>49</v>
      </c>
      <c r="E1430" t="s">
        <v>37</v>
      </c>
      <c r="F1430" t="s">
        <v>32</v>
      </c>
      <c r="G1430" t="s">
        <v>24</v>
      </c>
      <c r="H1430">
        <v>16140</v>
      </c>
      <c r="I1430">
        <v>9721.06</v>
      </c>
      <c r="J1430">
        <v>9721.06</v>
      </c>
      <c r="K1430">
        <v>6418.94</v>
      </c>
      <c r="L1430">
        <v>6418.94</v>
      </c>
      <c r="M1430" t="s">
        <v>19</v>
      </c>
      <c r="N1430">
        <v>8</v>
      </c>
    </row>
    <row r="1431" spans="1:14" x14ac:dyDescent="0.35">
      <c r="A1431">
        <v>101430</v>
      </c>
      <c r="B1431">
        <v>74511</v>
      </c>
      <c r="C1431" t="s">
        <v>395</v>
      </c>
      <c r="D1431" t="s">
        <v>49</v>
      </c>
      <c r="E1431" t="s">
        <v>31</v>
      </c>
      <c r="F1431" t="s">
        <v>44</v>
      </c>
      <c r="G1431" t="s">
        <v>38</v>
      </c>
      <c r="H1431">
        <v>16585</v>
      </c>
      <c r="I1431">
        <v>15306.85</v>
      </c>
      <c r="J1431">
        <v>0</v>
      </c>
      <c r="K1431">
        <v>1278.1500000000001</v>
      </c>
      <c r="L1431">
        <v>16585</v>
      </c>
      <c r="M1431" t="s">
        <v>62</v>
      </c>
      <c r="N1431">
        <v>93</v>
      </c>
    </row>
    <row r="1432" spans="1:14" x14ac:dyDescent="0.35">
      <c r="A1432">
        <v>101431</v>
      </c>
      <c r="B1432">
        <v>82058</v>
      </c>
      <c r="C1432" t="s">
        <v>82</v>
      </c>
      <c r="D1432" t="s">
        <v>30</v>
      </c>
      <c r="E1432" t="s">
        <v>41</v>
      </c>
      <c r="F1432" t="s">
        <v>23</v>
      </c>
      <c r="G1432" t="s">
        <v>18</v>
      </c>
      <c r="H1432">
        <v>17471</v>
      </c>
      <c r="I1432">
        <v>11508.35</v>
      </c>
      <c r="J1432">
        <v>11508.35</v>
      </c>
      <c r="K1432">
        <v>5962.65</v>
      </c>
      <c r="L1432">
        <v>5962.65</v>
      </c>
      <c r="M1432" t="s">
        <v>19</v>
      </c>
      <c r="N1432">
        <v>161</v>
      </c>
    </row>
    <row r="1433" spans="1:14" x14ac:dyDescent="0.35">
      <c r="A1433">
        <v>101432</v>
      </c>
      <c r="B1433">
        <v>78619</v>
      </c>
      <c r="C1433" t="s">
        <v>282</v>
      </c>
      <c r="D1433" t="s">
        <v>52</v>
      </c>
      <c r="E1433" t="s">
        <v>31</v>
      </c>
      <c r="F1433" t="s">
        <v>44</v>
      </c>
      <c r="G1433" t="s">
        <v>45</v>
      </c>
      <c r="H1433">
        <v>5857</v>
      </c>
      <c r="I1433">
        <v>5165.6400000000003</v>
      </c>
      <c r="J1433">
        <v>5165.6400000000003</v>
      </c>
      <c r="K1433">
        <v>691.36</v>
      </c>
      <c r="L1433">
        <v>691.36</v>
      </c>
      <c r="M1433" t="s">
        <v>19</v>
      </c>
      <c r="N1433">
        <v>134</v>
      </c>
    </row>
    <row r="1434" spans="1:14" x14ac:dyDescent="0.35">
      <c r="A1434">
        <v>101433</v>
      </c>
      <c r="B1434">
        <v>79491</v>
      </c>
      <c r="C1434" t="s">
        <v>293</v>
      </c>
      <c r="D1434" t="s">
        <v>34</v>
      </c>
      <c r="E1434" t="s">
        <v>41</v>
      </c>
      <c r="F1434" t="s">
        <v>44</v>
      </c>
      <c r="G1434" t="s">
        <v>38</v>
      </c>
      <c r="H1434">
        <v>24398</v>
      </c>
      <c r="I1434">
        <v>16007.36</v>
      </c>
      <c r="J1434">
        <v>16007.36</v>
      </c>
      <c r="K1434">
        <v>8390.64</v>
      </c>
      <c r="L1434">
        <v>8390.64</v>
      </c>
      <c r="M1434" t="s">
        <v>19</v>
      </c>
      <c r="N1434">
        <v>170</v>
      </c>
    </row>
    <row r="1435" spans="1:14" x14ac:dyDescent="0.35">
      <c r="A1435">
        <v>101434</v>
      </c>
      <c r="B1435">
        <v>89716</v>
      </c>
      <c r="C1435" t="s">
        <v>103</v>
      </c>
      <c r="D1435" t="s">
        <v>34</v>
      </c>
      <c r="E1435" t="s">
        <v>37</v>
      </c>
      <c r="F1435" t="s">
        <v>54</v>
      </c>
      <c r="G1435" t="s">
        <v>45</v>
      </c>
      <c r="H1435">
        <v>20567</v>
      </c>
      <c r="I1435">
        <v>15022.21</v>
      </c>
      <c r="J1435">
        <v>9325.6299999999992</v>
      </c>
      <c r="K1435">
        <v>5544.79</v>
      </c>
      <c r="L1435">
        <v>11241.37</v>
      </c>
      <c r="M1435" t="s">
        <v>39</v>
      </c>
      <c r="N1435">
        <v>59</v>
      </c>
    </row>
    <row r="1436" spans="1:14" x14ac:dyDescent="0.35">
      <c r="A1436">
        <v>101435</v>
      </c>
      <c r="B1436">
        <v>60524</v>
      </c>
      <c r="C1436" t="s">
        <v>133</v>
      </c>
      <c r="D1436" t="s">
        <v>15</v>
      </c>
      <c r="E1436" t="s">
        <v>56</v>
      </c>
      <c r="F1436" t="s">
        <v>32</v>
      </c>
      <c r="G1436" t="s">
        <v>28</v>
      </c>
      <c r="H1436">
        <v>15873</v>
      </c>
      <c r="I1436">
        <v>9604.31</v>
      </c>
      <c r="J1436">
        <v>2181.06</v>
      </c>
      <c r="K1436">
        <v>6268.69</v>
      </c>
      <c r="L1436">
        <v>13691.94</v>
      </c>
      <c r="M1436" t="s">
        <v>50</v>
      </c>
      <c r="N1436">
        <v>167</v>
      </c>
    </row>
    <row r="1437" spans="1:14" x14ac:dyDescent="0.35">
      <c r="A1437">
        <v>101436</v>
      </c>
      <c r="B1437">
        <v>72169</v>
      </c>
      <c r="C1437" t="s">
        <v>497</v>
      </c>
      <c r="D1437" t="s">
        <v>30</v>
      </c>
      <c r="E1437" t="s">
        <v>43</v>
      </c>
      <c r="F1437" t="s">
        <v>27</v>
      </c>
      <c r="G1437" t="s">
        <v>47</v>
      </c>
      <c r="H1437">
        <v>17039</v>
      </c>
      <c r="I1437">
        <v>11466.15</v>
      </c>
      <c r="J1437">
        <v>11466.15</v>
      </c>
      <c r="K1437">
        <v>5572.85</v>
      </c>
      <c r="L1437">
        <v>5572.85</v>
      </c>
      <c r="M1437" t="s">
        <v>19</v>
      </c>
      <c r="N1437">
        <v>174</v>
      </c>
    </row>
    <row r="1438" spans="1:14" x14ac:dyDescent="0.35">
      <c r="A1438">
        <v>101437</v>
      </c>
      <c r="B1438">
        <v>29694</v>
      </c>
      <c r="C1438" t="s">
        <v>217</v>
      </c>
      <c r="D1438" t="s">
        <v>65</v>
      </c>
      <c r="E1438" t="s">
        <v>43</v>
      </c>
      <c r="F1438" t="s">
        <v>35</v>
      </c>
      <c r="G1438" t="s">
        <v>18</v>
      </c>
      <c r="H1438">
        <v>13605</v>
      </c>
      <c r="I1438">
        <v>11009.94</v>
      </c>
      <c r="J1438">
        <v>8469.67</v>
      </c>
      <c r="K1438">
        <v>2595.06</v>
      </c>
      <c r="L1438">
        <v>5135.33</v>
      </c>
      <c r="M1438" t="s">
        <v>39</v>
      </c>
      <c r="N1438">
        <v>167</v>
      </c>
    </row>
    <row r="1439" spans="1:14" x14ac:dyDescent="0.35">
      <c r="A1439">
        <v>101438</v>
      </c>
      <c r="B1439">
        <v>32956</v>
      </c>
      <c r="C1439" t="s">
        <v>664</v>
      </c>
      <c r="D1439" t="s">
        <v>52</v>
      </c>
      <c r="E1439" t="s">
        <v>26</v>
      </c>
      <c r="F1439" t="s">
        <v>32</v>
      </c>
      <c r="G1439" t="s">
        <v>28</v>
      </c>
      <c r="H1439">
        <v>17969</v>
      </c>
      <c r="I1439">
        <v>15590.42</v>
      </c>
      <c r="J1439">
        <v>15590.42</v>
      </c>
      <c r="K1439">
        <v>2378.58</v>
      </c>
      <c r="L1439">
        <v>2378.58</v>
      </c>
      <c r="M1439" t="s">
        <v>19</v>
      </c>
      <c r="N1439">
        <v>20</v>
      </c>
    </row>
    <row r="1440" spans="1:14" x14ac:dyDescent="0.35">
      <c r="A1440">
        <v>101439</v>
      </c>
      <c r="B1440">
        <v>40124</v>
      </c>
      <c r="C1440" t="s">
        <v>568</v>
      </c>
      <c r="D1440" t="s">
        <v>15</v>
      </c>
      <c r="E1440" t="s">
        <v>16</v>
      </c>
      <c r="F1440" t="s">
        <v>61</v>
      </c>
      <c r="G1440" t="s">
        <v>28</v>
      </c>
      <c r="H1440">
        <v>3678</v>
      </c>
      <c r="I1440">
        <v>2137.83</v>
      </c>
      <c r="J1440">
        <v>2137.83</v>
      </c>
      <c r="K1440">
        <v>1540.17</v>
      </c>
      <c r="L1440">
        <v>1540.17</v>
      </c>
      <c r="M1440" t="s">
        <v>19</v>
      </c>
      <c r="N1440">
        <v>44</v>
      </c>
    </row>
    <row r="1441" spans="1:14" x14ac:dyDescent="0.35">
      <c r="A1441">
        <v>101440</v>
      </c>
      <c r="B1441">
        <v>87741</v>
      </c>
      <c r="C1441" t="s">
        <v>594</v>
      </c>
      <c r="D1441" t="s">
        <v>34</v>
      </c>
      <c r="E1441" t="s">
        <v>26</v>
      </c>
      <c r="F1441" t="s">
        <v>32</v>
      </c>
      <c r="G1441" t="s">
        <v>38</v>
      </c>
      <c r="H1441">
        <v>8770</v>
      </c>
      <c r="I1441">
        <v>6304.11</v>
      </c>
      <c r="J1441">
        <v>6304.11</v>
      </c>
      <c r="K1441">
        <v>2465.89</v>
      </c>
      <c r="L1441">
        <v>2465.89</v>
      </c>
      <c r="M1441" t="s">
        <v>19</v>
      </c>
      <c r="N1441">
        <v>180</v>
      </c>
    </row>
    <row r="1442" spans="1:14" x14ac:dyDescent="0.35">
      <c r="A1442">
        <v>101441</v>
      </c>
      <c r="B1442">
        <v>89200</v>
      </c>
      <c r="C1442" t="s">
        <v>270</v>
      </c>
      <c r="D1442" t="s">
        <v>21</v>
      </c>
      <c r="E1442" t="s">
        <v>56</v>
      </c>
      <c r="F1442" t="s">
        <v>61</v>
      </c>
      <c r="G1442" t="s">
        <v>28</v>
      </c>
      <c r="H1442">
        <v>5684</v>
      </c>
      <c r="I1442">
        <v>5094.6000000000004</v>
      </c>
      <c r="J1442">
        <v>5094.6000000000004</v>
      </c>
      <c r="K1442">
        <v>589.4</v>
      </c>
      <c r="L1442">
        <v>589.4</v>
      </c>
      <c r="M1442" t="s">
        <v>19</v>
      </c>
      <c r="N1442">
        <v>131</v>
      </c>
    </row>
    <row r="1443" spans="1:14" x14ac:dyDescent="0.35">
      <c r="A1443">
        <v>101442</v>
      </c>
      <c r="B1443">
        <v>94620</v>
      </c>
      <c r="C1443" t="s">
        <v>640</v>
      </c>
      <c r="D1443" t="s">
        <v>65</v>
      </c>
      <c r="E1443" t="s">
        <v>16</v>
      </c>
      <c r="F1443" t="s">
        <v>32</v>
      </c>
      <c r="G1443" t="s">
        <v>47</v>
      </c>
      <c r="H1443">
        <v>15947</v>
      </c>
      <c r="I1443">
        <v>9447.77</v>
      </c>
      <c r="J1443">
        <v>9447.77</v>
      </c>
      <c r="K1443">
        <v>6499.23</v>
      </c>
      <c r="L1443">
        <v>6499.23</v>
      </c>
      <c r="M1443" t="s">
        <v>19</v>
      </c>
      <c r="N1443">
        <v>169</v>
      </c>
    </row>
    <row r="1444" spans="1:14" x14ac:dyDescent="0.35">
      <c r="A1444">
        <v>101443</v>
      </c>
      <c r="B1444">
        <v>22885</v>
      </c>
      <c r="C1444" t="s">
        <v>176</v>
      </c>
      <c r="D1444" t="s">
        <v>65</v>
      </c>
      <c r="E1444" t="s">
        <v>16</v>
      </c>
      <c r="F1444" t="s">
        <v>23</v>
      </c>
      <c r="G1444" t="s">
        <v>72</v>
      </c>
      <c r="H1444">
        <v>5228</v>
      </c>
      <c r="I1444">
        <v>2916.97</v>
      </c>
      <c r="J1444">
        <v>1943.18</v>
      </c>
      <c r="K1444">
        <v>2311.0300000000002</v>
      </c>
      <c r="L1444">
        <v>3284.82</v>
      </c>
      <c r="M1444" t="s">
        <v>39</v>
      </c>
      <c r="N1444">
        <v>137</v>
      </c>
    </row>
    <row r="1445" spans="1:14" x14ac:dyDescent="0.35">
      <c r="A1445">
        <v>101444</v>
      </c>
      <c r="B1445">
        <v>97848</v>
      </c>
      <c r="C1445" t="s">
        <v>641</v>
      </c>
      <c r="D1445" t="s">
        <v>21</v>
      </c>
      <c r="E1445" t="s">
        <v>56</v>
      </c>
      <c r="F1445" t="s">
        <v>17</v>
      </c>
      <c r="G1445" t="s">
        <v>47</v>
      </c>
      <c r="H1445">
        <v>6122</v>
      </c>
      <c r="I1445">
        <v>4248.75</v>
      </c>
      <c r="J1445">
        <v>4248.75</v>
      </c>
      <c r="K1445">
        <v>1873.25</v>
      </c>
      <c r="L1445">
        <v>1873.25</v>
      </c>
      <c r="M1445" t="s">
        <v>19</v>
      </c>
      <c r="N1445">
        <v>43</v>
      </c>
    </row>
    <row r="1446" spans="1:14" x14ac:dyDescent="0.35">
      <c r="A1446">
        <v>101445</v>
      </c>
      <c r="B1446">
        <v>19338</v>
      </c>
      <c r="C1446" t="s">
        <v>73</v>
      </c>
      <c r="D1446" t="s">
        <v>30</v>
      </c>
      <c r="E1446" t="s">
        <v>31</v>
      </c>
      <c r="F1446" t="s">
        <v>32</v>
      </c>
      <c r="G1446" t="s">
        <v>47</v>
      </c>
      <c r="H1446">
        <v>16068</v>
      </c>
      <c r="I1446">
        <v>12064.97</v>
      </c>
      <c r="J1446">
        <v>12064.97</v>
      </c>
      <c r="K1446">
        <v>4003.03</v>
      </c>
      <c r="L1446">
        <v>4003.03</v>
      </c>
      <c r="M1446" t="s">
        <v>19</v>
      </c>
      <c r="N1446">
        <v>71</v>
      </c>
    </row>
    <row r="1447" spans="1:14" x14ac:dyDescent="0.35">
      <c r="A1447">
        <v>101446</v>
      </c>
      <c r="B1447">
        <v>67204</v>
      </c>
      <c r="C1447" t="s">
        <v>321</v>
      </c>
      <c r="D1447" t="s">
        <v>21</v>
      </c>
      <c r="E1447" t="s">
        <v>56</v>
      </c>
      <c r="F1447" t="s">
        <v>23</v>
      </c>
      <c r="G1447" t="s">
        <v>24</v>
      </c>
      <c r="H1447">
        <v>15224</v>
      </c>
      <c r="I1447">
        <v>10212.049999999999</v>
      </c>
      <c r="J1447">
        <v>114.42</v>
      </c>
      <c r="K1447">
        <v>5011.95</v>
      </c>
      <c r="L1447">
        <v>15109.58</v>
      </c>
      <c r="M1447" t="s">
        <v>50</v>
      </c>
      <c r="N1447">
        <v>26</v>
      </c>
    </row>
    <row r="1448" spans="1:14" x14ac:dyDescent="0.35">
      <c r="A1448">
        <v>101447</v>
      </c>
      <c r="B1448">
        <v>72969</v>
      </c>
      <c r="C1448" t="s">
        <v>453</v>
      </c>
      <c r="D1448" t="s">
        <v>49</v>
      </c>
      <c r="E1448" t="s">
        <v>16</v>
      </c>
      <c r="F1448" t="s">
        <v>27</v>
      </c>
      <c r="G1448" t="s">
        <v>38</v>
      </c>
      <c r="H1448">
        <v>20828</v>
      </c>
      <c r="I1448">
        <v>17051.150000000001</v>
      </c>
      <c r="J1448">
        <v>17051.150000000001</v>
      </c>
      <c r="K1448">
        <v>3776.85</v>
      </c>
      <c r="L1448">
        <v>3776.85</v>
      </c>
      <c r="M1448" t="s">
        <v>19</v>
      </c>
      <c r="N1448">
        <v>101</v>
      </c>
    </row>
    <row r="1449" spans="1:14" x14ac:dyDescent="0.35">
      <c r="A1449">
        <v>101448</v>
      </c>
      <c r="B1449">
        <v>50038</v>
      </c>
      <c r="C1449" t="s">
        <v>523</v>
      </c>
      <c r="D1449" t="s">
        <v>34</v>
      </c>
      <c r="E1449" t="s">
        <v>41</v>
      </c>
      <c r="F1449" t="s">
        <v>32</v>
      </c>
      <c r="G1449" t="s">
        <v>38</v>
      </c>
      <c r="H1449">
        <v>15835</v>
      </c>
      <c r="I1449">
        <v>9033.84</v>
      </c>
      <c r="J1449">
        <v>9033.84</v>
      </c>
      <c r="K1449">
        <v>6801.16</v>
      </c>
      <c r="L1449">
        <v>6801.16</v>
      </c>
      <c r="M1449" t="s">
        <v>19</v>
      </c>
      <c r="N1449">
        <v>10</v>
      </c>
    </row>
    <row r="1450" spans="1:14" x14ac:dyDescent="0.35">
      <c r="A1450">
        <v>101449</v>
      </c>
      <c r="B1450">
        <v>73007</v>
      </c>
      <c r="C1450" t="s">
        <v>55</v>
      </c>
      <c r="D1450" t="s">
        <v>30</v>
      </c>
      <c r="E1450" t="s">
        <v>26</v>
      </c>
      <c r="F1450" t="s">
        <v>44</v>
      </c>
      <c r="G1450" t="s">
        <v>72</v>
      </c>
      <c r="H1450">
        <v>19864</v>
      </c>
      <c r="I1450">
        <v>16802.57</v>
      </c>
      <c r="J1450">
        <v>16802.57</v>
      </c>
      <c r="K1450">
        <v>3061.43</v>
      </c>
      <c r="L1450">
        <v>3061.43</v>
      </c>
      <c r="M1450" t="s">
        <v>19</v>
      </c>
      <c r="N1450">
        <v>119</v>
      </c>
    </row>
    <row r="1451" spans="1:14" x14ac:dyDescent="0.35">
      <c r="A1451">
        <v>101450</v>
      </c>
      <c r="B1451">
        <v>64211</v>
      </c>
      <c r="C1451" t="s">
        <v>665</v>
      </c>
      <c r="D1451" t="s">
        <v>49</v>
      </c>
      <c r="E1451" t="s">
        <v>41</v>
      </c>
      <c r="F1451" t="s">
        <v>54</v>
      </c>
      <c r="G1451" t="s">
        <v>18</v>
      </c>
      <c r="H1451">
        <v>8296</v>
      </c>
      <c r="I1451">
        <v>7014.3</v>
      </c>
      <c r="J1451">
        <v>1335.48</v>
      </c>
      <c r="K1451">
        <v>1281.7</v>
      </c>
      <c r="L1451">
        <v>6960.52</v>
      </c>
      <c r="M1451" t="s">
        <v>50</v>
      </c>
      <c r="N1451">
        <v>163</v>
      </c>
    </row>
    <row r="1452" spans="1:14" x14ac:dyDescent="0.35">
      <c r="A1452">
        <v>101451</v>
      </c>
      <c r="B1452">
        <v>47179</v>
      </c>
      <c r="C1452" t="s">
        <v>445</v>
      </c>
      <c r="D1452" t="s">
        <v>30</v>
      </c>
      <c r="E1452" t="s">
        <v>41</v>
      </c>
      <c r="F1452" t="s">
        <v>27</v>
      </c>
      <c r="G1452" t="s">
        <v>38</v>
      </c>
      <c r="H1452">
        <v>21448</v>
      </c>
      <c r="I1452">
        <v>17117.32</v>
      </c>
      <c r="J1452">
        <v>17117.32</v>
      </c>
      <c r="K1452">
        <v>4330.68</v>
      </c>
      <c r="L1452">
        <v>4330.68</v>
      </c>
      <c r="M1452" t="s">
        <v>19</v>
      </c>
      <c r="N1452">
        <v>90</v>
      </c>
    </row>
    <row r="1453" spans="1:14" x14ac:dyDescent="0.35">
      <c r="A1453">
        <v>101452</v>
      </c>
      <c r="B1453">
        <v>29315</v>
      </c>
      <c r="C1453" t="s">
        <v>156</v>
      </c>
      <c r="D1453" t="s">
        <v>15</v>
      </c>
      <c r="E1453" t="s">
        <v>26</v>
      </c>
      <c r="F1453" t="s">
        <v>17</v>
      </c>
      <c r="G1453" t="s">
        <v>38</v>
      </c>
      <c r="H1453">
        <v>8609</v>
      </c>
      <c r="I1453">
        <v>7226.59</v>
      </c>
      <c r="J1453">
        <v>7226.59</v>
      </c>
      <c r="K1453">
        <v>1382.41</v>
      </c>
      <c r="L1453">
        <v>1382.41</v>
      </c>
      <c r="M1453" t="s">
        <v>19</v>
      </c>
      <c r="N1453">
        <v>38</v>
      </c>
    </row>
    <row r="1454" spans="1:14" x14ac:dyDescent="0.35">
      <c r="A1454">
        <v>101453</v>
      </c>
      <c r="B1454">
        <v>58264</v>
      </c>
      <c r="C1454" t="s">
        <v>226</v>
      </c>
      <c r="D1454" t="s">
        <v>52</v>
      </c>
      <c r="E1454" t="s">
        <v>31</v>
      </c>
      <c r="F1454" t="s">
        <v>27</v>
      </c>
      <c r="G1454" t="s">
        <v>18</v>
      </c>
      <c r="H1454">
        <v>8779</v>
      </c>
      <c r="I1454">
        <v>7408.04</v>
      </c>
      <c r="J1454">
        <v>0</v>
      </c>
      <c r="K1454">
        <v>1370.96</v>
      </c>
      <c r="L1454">
        <v>8779</v>
      </c>
      <c r="M1454" t="s">
        <v>62</v>
      </c>
      <c r="N1454">
        <v>12</v>
      </c>
    </row>
    <row r="1455" spans="1:14" x14ac:dyDescent="0.35">
      <c r="A1455">
        <v>101454</v>
      </c>
      <c r="B1455">
        <v>56332</v>
      </c>
      <c r="C1455" t="s">
        <v>207</v>
      </c>
      <c r="D1455" t="s">
        <v>34</v>
      </c>
      <c r="E1455" t="s">
        <v>26</v>
      </c>
      <c r="F1455" t="s">
        <v>35</v>
      </c>
      <c r="G1455" t="s">
        <v>38</v>
      </c>
      <c r="H1455">
        <v>10700</v>
      </c>
      <c r="I1455">
        <v>8092.17</v>
      </c>
      <c r="J1455">
        <v>6241.99</v>
      </c>
      <c r="K1455">
        <v>2607.83</v>
      </c>
      <c r="L1455">
        <v>4458.01</v>
      </c>
      <c r="M1455" t="s">
        <v>39</v>
      </c>
      <c r="N1455">
        <v>66</v>
      </c>
    </row>
    <row r="1456" spans="1:14" x14ac:dyDescent="0.35">
      <c r="A1456">
        <v>101455</v>
      </c>
      <c r="B1456">
        <v>89069</v>
      </c>
      <c r="C1456" t="s">
        <v>20</v>
      </c>
      <c r="D1456" t="s">
        <v>21</v>
      </c>
      <c r="E1456" t="s">
        <v>31</v>
      </c>
      <c r="F1456" t="s">
        <v>32</v>
      </c>
      <c r="G1456" t="s">
        <v>38</v>
      </c>
      <c r="H1456">
        <v>1232</v>
      </c>
      <c r="I1456">
        <v>1010.52</v>
      </c>
      <c r="J1456">
        <v>1010.52</v>
      </c>
      <c r="K1456">
        <v>221.48</v>
      </c>
      <c r="L1456">
        <v>221.48</v>
      </c>
      <c r="M1456" t="s">
        <v>19</v>
      </c>
      <c r="N1456">
        <v>32</v>
      </c>
    </row>
    <row r="1457" spans="1:14" x14ac:dyDescent="0.35">
      <c r="A1457">
        <v>101456</v>
      </c>
      <c r="B1457">
        <v>73532</v>
      </c>
      <c r="C1457" t="s">
        <v>239</v>
      </c>
      <c r="D1457" t="s">
        <v>34</v>
      </c>
      <c r="E1457" t="s">
        <v>26</v>
      </c>
      <c r="F1457" t="s">
        <v>27</v>
      </c>
      <c r="G1457" t="s">
        <v>38</v>
      </c>
      <c r="H1457">
        <v>14090</v>
      </c>
      <c r="I1457">
        <v>9211.1299999999992</v>
      </c>
      <c r="J1457">
        <v>4155.34</v>
      </c>
      <c r="K1457">
        <v>4878.87</v>
      </c>
      <c r="L1457">
        <v>9934.66</v>
      </c>
      <c r="M1457" t="s">
        <v>39</v>
      </c>
      <c r="N1457">
        <v>141</v>
      </c>
    </row>
    <row r="1458" spans="1:14" x14ac:dyDescent="0.35">
      <c r="A1458">
        <v>101457</v>
      </c>
      <c r="B1458">
        <v>40778</v>
      </c>
      <c r="C1458" t="s">
        <v>600</v>
      </c>
      <c r="D1458" t="s">
        <v>21</v>
      </c>
      <c r="E1458" t="s">
        <v>16</v>
      </c>
      <c r="F1458" t="s">
        <v>32</v>
      </c>
      <c r="G1458" t="s">
        <v>47</v>
      </c>
      <c r="H1458">
        <v>23828</v>
      </c>
      <c r="I1458">
        <v>15509.49</v>
      </c>
      <c r="J1458">
        <v>4483.7700000000004</v>
      </c>
      <c r="K1458">
        <v>8318.51</v>
      </c>
      <c r="L1458">
        <v>19344.23</v>
      </c>
      <c r="M1458" t="s">
        <v>50</v>
      </c>
      <c r="N1458">
        <v>62</v>
      </c>
    </row>
    <row r="1459" spans="1:14" x14ac:dyDescent="0.35">
      <c r="A1459">
        <v>101458</v>
      </c>
      <c r="B1459">
        <v>37999</v>
      </c>
      <c r="C1459" t="s">
        <v>166</v>
      </c>
      <c r="D1459" t="s">
        <v>49</v>
      </c>
      <c r="E1459" t="s">
        <v>22</v>
      </c>
      <c r="F1459" t="s">
        <v>32</v>
      </c>
      <c r="G1459" t="s">
        <v>24</v>
      </c>
      <c r="H1459">
        <v>2563</v>
      </c>
      <c r="I1459">
        <v>2397.0500000000002</v>
      </c>
      <c r="J1459">
        <v>2397.0500000000002</v>
      </c>
      <c r="K1459">
        <v>165.95</v>
      </c>
      <c r="L1459">
        <v>165.95</v>
      </c>
      <c r="M1459" t="s">
        <v>19</v>
      </c>
      <c r="N1459">
        <v>70</v>
      </c>
    </row>
    <row r="1460" spans="1:14" x14ac:dyDescent="0.35">
      <c r="A1460">
        <v>101459</v>
      </c>
      <c r="B1460">
        <v>15166</v>
      </c>
      <c r="C1460" t="s">
        <v>411</v>
      </c>
      <c r="D1460" t="s">
        <v>34</v>
      </c>
      <c r="E1460" t="s">
        <v>43</v>
      </c>
      <c r="F1460" t="s">
        <v>54</v>
      </c>
      <c r="G1460" t="s">
        <v>45</v>
      </c>
      <c r="H1460">
        <v>14622</v>
      </c>
      <c r="I1460">
        <v>11822</v>
      </c>
      <c r="J1460">
        <v>11822</v>
      </c>
      <c r="K1460">
        <v>2800</v>
      </c>
      <c r="L1460">
        <v>2800</v>
      </c>
      <c r="M1460" t="s">
        <v>19</v>
      </c>
      <c r="N1460">
        <v>168</v>
      </c>
    </row>
    <row r="1461" spans="1:14" x14ac:dyDescent="0.35">
      <c r="A1461">
        <v>101460</v>
      </c>
      <c r="B1461">
        <v>99063</v>
      </c>
      <c r="C1461" t="s">
        <v>220</v>
      </c>
      <c r="D1461" t="s">
        <v>49</v>
      </c>
      <c r="E1461" t="s">
        <v>37</v>
      </c>
      <c r="F1461" t="s">
        <v>35</v>
      </c>
      <c r="G1461" t="s">
        <v>45</v>
      </c>
      <c r="H1461">
        <v>12308</v>
      </c>
      <c r="I1461">
        <v>8681.0499999999993</v>
      </c>
      <c r="J1461">
        <v>4556.91</v>
      </c>
      <c r="K1461">
        <v>3626.95</v>
      </c>
      <c r="L1461">
        <v>7751.09</v>
      </c>
      <c r="M1461" t="s">
        <v>39</v>
      </c>
      <c r="N1461">
        <v>164</v>
      </c>
    </row>
    <row r="1462" spans="1:14" x14ac:dyDescent="0.35">
      <c r="A1462">
        <v>101461</v>
      </c>
      <c r="B1462">
        <v>60285</v>
      </c>
      <c r="C1462" t="s">
        <v>586</v>
      </c>
      <c r="D1462" t="s">
        <v>30</v>
      </c>
      <c r="E1462" t="s">
        <v>37</v>
      </c>
      <c r="F1462" t="s">
        <v>27</v>
      </c>
      <c r="G1462" t="s">
        <v>38</v>
      </c>
      <c r="H1462">
        <v>1602</v>
      </c>
      <c r="I1462">
        <v>1179.8399999999999</v>
      </c>
      <c r="J1462">
        <v>938.72</v>
      </c>
      <c r="K1462">
        <v>422.16</v>
      </c>
      <c r="L1462">
        <v>663.28</v>
      </c>
      <c r="M1462" t="s">
        <v>39</v>
      </c>
      <c r="N1462">
        <v>30</v>
      </c>
    </row>
    <row r="1463" spans="1:14" x14ac:dyDescent="0.35">
      <c r="A1463">
        <v>101462</v>
      </c>
      <c r="B1463">
        <v>29167</v>
      </c>
      <c r="C1463" t="s">
        <v>640</v>
      </c>
      <c r="D1463" t="s">
        <v>65</v>
      </c>
      <c r="E1463" t="s">
        <v>43</v>
      </c>
      <c r="F1463" t="s">
        <v>61</v>
      </c>
      <c r="G1463" t="s">
        <v>72</v>
      </c>
      <c r="H1463">
        <v>15207</v>
      </c>
      <c r="I1463">
        <v>12159.89</v>
      </c>
      <c r="J1463">
        <v>1974.51</v>
      </c>
      <c r="K1463">
        <v>3047.11</v>
      </c>
      <c r="L1463">
        <v>13232.49</v>
      </c>
      <c r="M1463" t="s">
        <v>50</v>
      </c>
      <c r="N1463">
        <v>170</v>
      </c>
    </row>
    <row r="1464" spans="1:14" x14ac:dyDescent="0.35">
      <c r="A1464">
        <v>101463</v>
      </c>
      <c r="B1464">
        <v>59172</v>
      </c>
      <c r="C1464" t="s">
        <v>589</v>
      </c>
      <c r="D1464" t="s">
        <v>21</v>
      </c>
      <c r="E1464" t="s">
        <v>43</v>
      </c>
      <c r="F1464" t="s">
        <v>61</v>
      </c>
      <c r="G1464" t="s">
        <v>45</v>
      </c>
      <c r="H1464">
        <v>9979</v>
      </c>
      <c r="I1464">
        <v>7708.66</v>
      </c>
      <c r="J1464">
        <v>7708.66</v>
      </c>
      <c r="K1464">
        <v>2270.34</v>
      </c>
      <c r="L1464">
        <v>2270.34</v>
      </c>
      <c r="M1464" t="s">
        <v>19</v>
      </c>
      <c r="N1464">
        <v>43</v>
      </c>
    </row>
    <row r="1465" spans="1:14" x14ac:dyDescent="0.35">
      <c r="A1465">
        <v>101464</v>
      </c>
      <c r="B1465">
        <v>80152</v>
      </c>
      <c r="C1465" t="s">
        <v>219</v>
      </c>
      <c r="D1465" t="s">
        <v>30</v>
      </c>
      <c r="E1465" t="s">
        <v>43</v>
      </c>
      <c r="F1465" t="s">
        <v>35</v>
      </c>
      <c r="G1465" t="s">
        <v>18</v>
      </c>
      <c r="H1465">
        <v>4362</v>
      </c>
      <c r="I1465">
        <v>3158.01</v>
      </c>
      <c r="J1465">
        <v>3158.01</v>
      </c>
      <c r="K1465">
        <v>1203.99</v>
      </c>
      <c r="L1465">
        <v>1203.99</v>
      </c>
      <c r="M1465" t="s">
        <v>19</v>
      </c>
      <c r="N1465">
        <v>163</v>
      </c>
    </row>
    <row r="1466" spans="1:14" x14ac:dyDescent="0.35">
      <c r="A1466">
        <v>101465</v>
      </c>
      <c r="B1466">
        <v>28077</v>
      </c>
      <c r="C1466" t="s">
        <v>20</v>
      </c>
      <c r="D1466" t="s">
        <v>30</v>
      </c>
      <c r="E1466" t="s">
        <v>43</v>
      </c>
      <c r="F1466" t="s">
        <v>54</v>
      </c>
      <c r="G1466" t="s">
        <v>24</v>
      </c>
      <c r="H1466">
        <v>15771</v>
      </c>
      <c r="I1466">
        <v>14912.18</v>
      </c>
      <c r="J1466">
        <v>14912.18</v>
      </c>
      <c r="K1466">
        <v>858.82</v>
      </c>
      <c r="L1466">
        <v>858.82</v>
      </c>
      <c r="M1466" t="s">
        <v>19</v>
      </c>
      <c r="N1466">
        <v>6</v>
      </c>
    </row>
    <row r="1467" spans="1:14" x14ac:dyDescent="0.35">
      <c r="A1467">
        <v>101466</v>
      </c>
      <c r="B1467">
        <v>74758</v>
      </c>
      <c r="C1467" t="s">
        <v>666</v>
      </c>
      <c r="D1467" t="s">
        <v>49</v>
      </c>
      <c r="E1467" t="s">
        <v>16</v>
      </c>
      <c r="F1467" t="s">
        <v>32</v>
      </c>
      <c r="G1467" t="s">
        <v>18</v>
      </c>
      <c r="H1467">
        <v>3794</v>
      </c>
      <c r="I1467">
        <v>2506.21</v>
      </c>
      <c r="J1467">
        <v>2506.21</v>
      </c>
      <c r="K1467">
        <v>1287.79</v>
      </c>
      <c r="L1467">
        <v>1287.79</v>
      </c>
      <c r="M1467" t="s">
        <v>19</v>
      </c>
      <c r="N1467">
        <v>72</v>
      </c>
    </row>
    <row r="1468" spans="1:14" x14ac:dyDescent="0.35">
      <c r="A1468">
        <v>101467</v>
      </c>
      <c r="B1468">
        <v>70863</v>
      </c>
      <c r="C1468" t="s">
        <v>570</v>
      </c>
      <c r="D1468" t="s">
        <v>34</v>
      </c>
      <c r="E1468" t="s">
        <v>56</v>
      </c>
      <c r="F1468" t="s">
        <v>32</v>
      </c>
      <c r="G1468" t="s">
        <v>18</v>
      </c>
      <c r="H1468">
        <v>2168</v>
      </c>
      <c r="I1468">
        <v>1460.82</v>
      </c>
      <c r="J1468">
        <v>750.24</v>
      </c>
      <c r="K1468">
        <v>707.18</v>
      </c>
      <c r="L1468">
        <v>1417.76</v>
      </c>
      <c r="M1468" t="s">
        <v>39</v>
      </c>
      <c r="N1468">
        <v>35</v>
      </c>
    </row>
    <row r="1469" spans="1:14" x14ac:dyDescent="0.35">
      <c r="A1469">
        <v>101468</v>
      </c>
      <c r="B1469">
        <v>17127</v>
      </c>
      <c r="C1469" t="s">
        <v>598</v>
      </c>
      <c r="D1469" t="s">
        <v>30</v>
      </c>
      <c r="E1469" t="s">
        <v>37</v>
      </c>
      <c r="F1469" t="s">
        <v>54</v>
      </c>
      <c r="G1469" t="s">
        <v>28</v>
      </c>
      <c r="H1469">
        <v>23311</v>
      </c>
      <c r="I1469">
        <v>21828.61</v>
      </c>
      <c r="J1469">
        <v>16760.57</v>
      </c>
      <c r="K1469">
        <v>1482.39</v>
      </c>
      <c r="L1469">
        <v>6550.43</v>
      </c>
      <c r="M1469" t="s">
        <v>39</v>
      </c>
      <c r="N1469">
        <v>101</v>
      </c>
    </row>
    <row r="1470" spans="1:14" x14ac:dyDescent="0.35">
      <c r="A1470">
        <v>101469</v>
      </c>
      <c r="B1470">
        <v>88803</v>
      </c>
      <c r="C1470" t="s">
        <v>511</v>
      </c>
      <c r="D1470" t="s">
        <v>30</v>
      </c>
      <c r="E1470" t="s">
        <v>26</v>
      </c>
      <c r="F1470" t="s">
        <v>54</v>
      </c>
      <c r="G1470" t="s">
        <v>38</v>
      </c>
      <c r="H1470">
        <v>24318</v>
      </c>
      <c r="I1470">
        <v>20314.3</v>
      </c>
      <c r="J1470">
        <v>20314.3</v>
      </c>
      <c r="K1470">
        <v>4003.7</v>
      </c>
      <c r="L1470">
        <v>4003.7</v>
      </c>
      <c r="M1470" t="s">
        <v>19</v>
      </c>
      <c r="N1470">
        <v>108</v>
      </c>
    </row>
    <row r="1471" spans="1:14" x14ac:dyDescent="0.35">
      <c r="A1471">
        <v>101470</v>
      </c>
      <c r="B1471">
        <v>75047</v>
      </c>
      <c r="C1471" t="s">
        <v>77</v>
      </c>
      <c r="D1471" t="s">
        <v>52</v>
      </c>
      <c r="E1471" t="s">
        <v>26</v>
      </c>
      <c r="F1471" t="s">
        <v>32</v>
      </c>
      <c r="G1471" t="s">
        <v>72</v>
      </c>
      <c r="H1471">
        <v>8141</v>
      </c>
      <c r="I1471">
        <v>6255.09</v>
      </c>
      <c r="J1471">
        <v>0</v>
      </c>
      <c r="K1471">
        <v>1885.91</v>
      </c>
      <c r="L1471">
        <v>8141</v>
      </c>
      <c r="M1471" t="s">
        <v>62</v>
      </c>
      <c r="N1471">
        <v>125</v>
      </c>
    </row>
    <row r="1472" spans="1:14" x14ac:dyDescent="0.35">
      <c r="A1472">
        <v>101471</v>
      </c>
      <c r="B1472">
        <v>73899</v>
      </c>
      <c r="C1472" t="s">
        <v>364</v>
      </c>
      <c r="D1472" t="s">
        <v>65</v>
      </c>
      <c r="E1472" t="s">
        <v>37</v>
      </c>
      <c r="F1472" t="s">
        <v>61</v>
      </c>
      <c r="G1472" t="s">
        <v>72</v>
      </c>
      <c r="H1472">
        <v>14018</v>
      </c>
      <c r="I1472">
        <v>12039.08</v>
      </c>
      <c r="J1472">
        <v>12039.08</v>
      </c>
      <c r="K1472">
        <v>1978.92</v>
      </c>
      <c r="L1472">
        <v>1978.92</v>
      </c>
      <c r="M1472" t="s">
        <v>19</v>
      </c>
      <c r="N1472">
        <v>119</v>
      </c>
    </row>
    <row r="1473" spans="1:14" x14ac:dyDescent="0.35">
      <c r="A1473">
        <v>101472</v>
      </c>
      <c r="B1473">
        <v>15213</v>
      </c>
      <c r="C1473" t="s">
        <v>667</v>
      </c>
      <c r="D1473" t="s">
        <v>15</v>
      </c>
      <c r="E1473" t="s">
        <v>22</v>
      </c>
      <c r="F1473" t="s">
        <v>54</v>
      </c>
      <c r="G1473" t="s">
        <v>47</v>
      </c>
      <c r="H1473">
        <v>4386</v>
      </c>
      <c r="I1473">
        <v>4001.02</v>
      </c>
      <c r="J1473">
        <v>0</v>
      </c>
      <c r="K1473">
        <v>384.98</v>
      </c>
      <c r="L1473">
        <v>4386</v>
      </c>
      <c r="M1473" t="s">
        <v>62</v>
      </c>
      <c r="N1473">
        <v>12</v>
      </c>
    </row>
    <row r="1474" spans="1:14" x14ac:dyDescent="0.35">
      <c r="A1474">
        <v>101473</v>
      </c>
      <c r="B1474">
        <v>47743</v>
      </c>
      <c r="C1474" t="s">
        <v>218</v>
      </c>
      <c r="D1474" t="s">
        <v>15</v>
      </c>
      <c r="E1474" t="s">
        <v>37</v>
      </c>
      <c r="F1474" t="s">
        <v>44</v>
      </c>
      <c r="G1474" t="s">
        <v>45</v>
      </c>
      <c r="H1474">
        <v>20633</v>
      </c>
      <c r="I1474">
        <v>12137.06</v>
      </c>
      <c r="J1474">
        <v>12137.06</v>
      </c>
      <c r="K1474">
        <v>8495.94</v>
      </c>
      <c r="L1474">
        <v>8495.94</v>
      </c>
      <c r="M1474" t="s">
        <v>19</v>
      </c>
      <c r="N1474">
        <v>142</v>
      </c>
    </row>
    <row r="1475" spans="1:14" x14ac:dyDescent="0.35">
      <c r="A1475">
        <v>101474</v>
      </c>
      <c r="B1475">
        <v>66862</v>
      </c>
      <c r="C1475" t="s">
        <v>668</v>
      </c>
      <c r="D1475" t="s">
        <v>15</v>
      </c>
      <c r="E1475" t="s">
        <v>41</v>
      </c>
      <c r="F1475" t="s">
        <v>27</v>
      </c>
      <c r="G1475" t="s">
        <v>24</v>
      </c>
      <c r="H1475">
        <v>19000</v>
      </c>
      <c r="I1475">
        <v>16042.92</v>
      </c>
      <c r="J1475">
        <v>16042.92</v>
      </c>
      <c r="K1475">
        <v>2957.08</v>
      </c>
      <c r="L1475">
        <v>2957.08</v>
      </c>
      <c r="M1475" t="s">
        <v>19</v>
      </c>
      <c r="N1475">
        <v>127</v>
      </c>
    </row>
    <row r="1476" spans="1:14" x14ac:dyDescent="0.35">
      <c r="A1476">
        <v>101475</v>
      </c>
      <c r="B1476">
        <v>77289</v>
      </c>
      <c r="C1476" t="s">
        <v>669</v>
      </c>
      <c r="D1476" t="s">
        <v>65</v>
      </c>
      <c r="E1476" t="s">
        <v>43</v>
      </c>
      <c r="F1476" t="s">
        <v>27</v>
      </c>
      <c r="G1476" t="s">
        <v>18</v>
      </c>
      <c r="H1476">
        <v>7665</v>
      </c>
      <c r="I1476">
        <v>5402.37</v>
      </c>
      <c r="J1476">
        <v>3448.72</v>
      </c>
      <c r="K1476">
        <v>2262.63</v>
      </c>
      <c r="L1476">
        <v>4216.28</v>
      </c>
      <c r="M1476" t="s">
        <v>39</v>
      </c>
      <c r="N1476">
        <v>127</v>
      </c>
    </row>
    <row r="1477" spans="1:14" x14ac:dyDescent="0.35">
      <c r="A1477">
        <v>101476</v>
      </c>
      <c r="B1477">
        <v>91107</v>
      </c>
      <c r="C1477" t="s">
        <v>55</v>
      </c>
      <c r="D1477" t="s">
        <v>30</v>
      </c>
      <c r="E1477" t="s">
        <v>41</v>
      </c>
      <c r="F1477" t="s">
        <v>44</v>
      </c>
      <c r="G1477" t="s">
        <v>38</v>
      </c>
      <c r="H1477">
        <v>8504</v>
      </c>
      <c r="I1477">
        <v>4941.13</v>
      </c>
      <c r="J1477">
        <v>4941.13</v>
      </c>
      <c r="K1477">
        <v>3562.87</v>
      </c>
      <c r="L1477">
        <v>3562.87</v>
      </c>
      <c r="M1477" t="s">
        <v>19</v>
      </c>
      <c r="N1477">
        <v>138</v>
      </c>
    </row>
    <row r="1478" spans="1:14" x14ac:dyDescent="0.35">
      <c r="A1478">
        <v>101477</v>
      </c>
      <c r="B1478">
        <v>76009</v>
      </c>
      <c r="C1478" t="s">
        <v>670</v>
      </c>
      <c r="D1478" t="s">
        <v>34</v>
      </c>
      <c r="E1478" t="s">
        <v>31</v>
      </c>
      <c r="F1478" t="s">
        <v>35</v>
      </c>
      <c r="G1478" t="s">
        <v>47</v>
      </c>
      <c r="H1478">
        <v>4541</v>
      </c>
      <c r="I1478">
        <v>4221.28</v>
      </c>
      <c r="J1478">
        <v>4221.28</v>
      </c>
      <c r="K1478">
        <v>319.72000000000003</v>
      </c>
      <c r="L1478">
        <v>319.72000000000003</v>
      </c>
      <c r="M1478" t="s">
        <v>19</v>
      </c>
      <c r="N1478">
        <v>51</v>
      </c>
    </row>
    <row r="1479" spans="1:14" x14ac:dyDescent="0.35">
      <c r="A1479">
        <v>101478</v>
      </c>
      <c r="B1479">
        <v>15255</v>
      </c>
      <c r="C1479" t="s">
        <v>619</v>
      </c>
      <c r="D1479" t="s">
        <v>65</v>
      </c>
      <c r="E1479" t="s">
        <v>26</v>
      </c>
      <c r="F1479" t="s">
        <v>23</v>
      </c>
      <c r="G1479" t="s">
        <v>72</v>
      </c>
      <c r="H1479">
        <v>5674</v>
      </c>
      <c r="I1479">
        <v>3302.34</v>
      </c>
      <c r="J1479">
        <v>1514.92</v>
      </c>
      <c r="K1479">
        <v>2371.66</v>
      </c>
      <c r="L1479">
        <v>4159.08</v>
      </c>
      <c r="M1479" t="s">
        <v>39</v>
      </c>
      <c r="N1479">
        <v>8</v>
      </c>
    </row>
    <row r="1480" spans="1:14" x14ac:dyDescent="0.35">
      <c r="A1480">
        <v>101479</v>
      </c>
      <c r="B1480">
        <v>95614</v>
      </c>
      <c r="C1480" t="s">
        <v>71</v>
      </c>
      <c r="D1480" t="s">
        <v>65</v>
      </c>
      <c r="E1480" t="s">
        <v>43</v>
      </c>
      <c r="F1480" t="s">
        <v>27</v>
      </c>
      <c r="G1480" t="s">
        <v>24</v>
      </c>
      <c r="H1480">
        <v>3575</v>
      </c>
      <c r="I1480">
        <v>2641.91</v>
      </c>
      <c r="J1480">
        <v>2641.91</v>
      </c>
      <c r="K1480">
        <v>933.09</v>
      </c>
      <c r="L1480">
        <v>933.09</v>
      </c>
      <c r="M1480" t="s">
        <v>19</v>
      </c>
      <c r="N1480">
        <v>74</v>
      </c>
    </row>
    <row r="1481" spans="1:14" x14ac:dyDescent="0.35">
      <c r="A1481">
        <v>101480</v>
      </c>
      <c r="B1481">
        <v>57893</v>
      </c>
      <c r="C1481" t="s">
        <v>240</v>
      </c>
      <c r="D1481" t="s">
        <v>52</v>
      </c>
      <c r="E1481" t="s">
        <v>22</v>
      </c>
      <c r="F1481" t="s">
        <v>27</v>
      </c>
      <c r="G1481" t="s">
        <v>47</v>
      </c>
      <c r="H1481">
        <v>9886</v>
      </c>
      <c r="I1481">
        <v>7412.69</v>
      </c>
      <c r="J1481">
        <v>3976.73</v>
      </c>
      <c r="K1481">
        <v>2473.31</v>
      </c>
      <c r="L1481">
        <v>5909.27</v>
      </c>
      <c r="M1481" t="s">
        <v>39</v>
      </c>
      <c r="N1481">
        <v>62</v>
      </c>
    </row>
    <row r="1482" spans="1:14" x14ac:dyDescent="0.35">
      <c r="A1482">
        <v>101481</v>
      </c>
      <c r="B1482">
        <v>83204</v>
      </c>
      <c r="C1482" t="s">
        <v>341</v>
      </c>
      <c r="D1482" t="s">
        <v>21</v>
      </c>
      <c r="E1482" t="s">
        <v>22</v>
      </c>
      <c r="F1482" t="s">
        <v>27</v>
      </c>
      <c r="G1482" t="s">
        <v>45</v>
      </c>
      <c r="H1482">
        <v>21081</v>
      </c>
      <c r="I1482">
        <v>13707.68</v>
      </c>
      <c r="J1482">
        <v>13707.68</v>
      </c>
      <c r="K1482">
        <v>7373.32</v>
      </c>
      <c r="L1482">
        <v>7373.32</v>
      </c>
      <c r="M1482" t="s">
        <v>19</v>
      </c>
      <c r="N1482">
        <v>154</v>
      </c>
    </row>
    <row r="1483" spans="1:14" x14ac:dyDescent="0.35">
      <c r="A1483">
        <v>101482</v>
      </c>
      <c r="B1483">
        <v>75901</v>
      </c>
      <c r="C1483" t="s">
        <v>431</v>
      </c>
      <c r="D1483" t="s">
        <v>52</v>
      </c>
      <c r="E1483" t="s">
        <v>22</v>
      </c>
      <c r="F1483" t="s">
        <v>61</v>
      </c>
      <c r="G1483" t="s">
        <v>72</v>
      </c>
      <c r="H1483">
        <v>22362</v>
      </c>
      <c r="I1483">
        <v>17792.78</v>
      </c>
      <c r="J1483">
        <v>3682.59</v>
      </c>
      <c r="K1483">
        <v>4569.22</v>
      </c>
      <c r="L1483">
        <v>18679.41</v>
      </c>
      <c r="M1483" t="s">
        <v>50</v>
      </c>
      <c r="N1483">
        <v>162</v>
      </c>
    </row>
    <row r="1484" spans="1:14" x14ac:dyDescent="0.35">
      <c r="A1484">
        <v>101483</v>
      </c>
      <c r="B1484">
        <v>27696</v>
      </c>
      <c r="C1484" t="s">
        <v>639</v>
      </c>
      <c r="D1484" t="s">
        <v>21</v>
      </c>
      <c r="E1484" t="s">
        <v>37</v>
      </c>
      <c r="F1484" t="s">
        <v>27</v>
      </c>
      <c r="G1484" t="s">
        <v>72</v>
      </c>
      <c r="H1484">
        <v>24886</v>
      </c>
      <c r="I1484">
        <v>19806.099999999999</v>
      </c>
      <c r="J1484">
        <v>695.31</v>
      </c>
      <c r="K1484">
        <v>5079.8999999999996</v>
      </c>
      <c r="L1484">
        <v>24190.69</v>
      </c>
      <c r="M1484" t="s">
        <v>50</v>
      </c>
      <c r="N1484">
        <v>12</v>
      </c>
    </row>
    <row r="1485" spans="1:14" x14ac:dyDescent="0.35">
      <c r="A1485">
        <v>101484</v>
      </c>
      <c r="B1485">
        <v>70443</v>
      </c>
      <c r="C1485" t="s">
        <v>361</v>
      </c>
      <c r="D1485" t="s">
        <v>21</v>
      </c>
      <c r="E1485" t="s">
        <v>26</v>
      </c>
      <c r="F1485" t="s">
        <v>17</v>
      </c>
      <c r="G1485" t="s">
        <v>24</v>
      </c>
      <c r="H1485">
        <v>22011</v>
      </c>
      <c r="I1485">
        <v>19500.37</v>
      </c>
      <c r="J1485">
        <v>0</v>
      </c>
      <c r="K1485">
        <v>2510.63</v>
      </c>
      <c r="L1485">
        <v>22011</v>
      </c>
      <c r="M1485" t="s">
        <v>62</v>
      </c>
      <c r="N1485">
        <v>103</v>
      </c>
    </row>
    <row r="1486" spans="1:14" x14ac:dyDescent="0.35">
      <c r="A1486">
        <v>101485</v>
      </c>
      <c r="B1486">
        <v>97648</v>
      </c>
      <c r="C1486" t="s">
        <v>484</v>
      </c>
      <c r="D1486" t="s">
        <v>34</v>
      </c>
      <c r="E1486" t="s">
        <v>41</v>
      </c>
      <c r="F1486" t="s">
        <v>35</v>
      </c>
      <c r="G1486" t="s">
        <v>18</v>
      </c>
      <c r="H1486">
        <v>21336</v>
      </c>
      <c r="I1486">
        <v>18899.43</v>
      </c>
      <c r="J1486">
        <v>18899.43</v>
      </c>
      <c r="K1486">
        <v>2436.5700000000002</v>
      </c>
      <c r="L1486">
        <v>2436.5700000000002</v>
      </c>
      <c r="M1486" t="s">
        <v>19</v>
      </c>
      <c r="N1486">
        <v>162</v>
      </c>
    </row>
    <row r="1487" spans="1:14" x14ac:dyDescent="0.35">
      <c r="A1487">
        <v>101486</v>
      </c>
      <c r="B1487">
        <v>15318</v>
      </c>
      <c r="C1487" t="s">
        <v>619</v>
      </c>
      <c r="D1487" t="s">
        <v>34</v>
      </c>
      <c r="E1487" t="s">
        <v>26</v>
      </c>
      <c r="F1487" t="s">
        <v>54</v>
      </c>
      <c r="G1487" t="s">
        <v>38</v>
      </c>
      <c r="H1487">
        <v>14715</v>
      </c>
      <c r="I1487">
        <v>12000.19</v>
      </c>
      <c r="J1487">
        <v>12000.19</v>
      </c>
      <c r="K1487">
        <v>2714.81</v>
      </c>
      <c r="L1487">
        <v>2714.81</v>
      </c>
      <c r="M1487" t="s">
        <v>19</v>
      </c>
      <c r="N1487">
        <v>82</v>
      </c>
    </row>
    <row r="1488" spans="1:14" x14ac:dyDescent="0.35">
      <c r="A1488">
        <v>101487</v>
      </c>
      <c r="B1488">
        <v>32088</v>
      </c>
      <c r="C1488" t="s">
        <v>671</v>
      </c>
      <c r="D1488" t="s">
        <v>65</v>
      </c>
      <c r="E1488" t="s">
        <v>41</v>
      </c>
      <c r="F1488" t="s">
        <v>17</v>
      </c>
      <c r="G1488" t="s">
        <v>72</v>
      </c>
      <c r="H1488">
        <v>17660</v>
      </c>
      <c r="I1488">
        <v>15149.64</v>
      </c>
      <c r="J1488">
        <v>0</v>
      </c>
      <c r="K1488">
        <v>2510.36</v>
      </c>
      <c r="L1488">
        <v>17660</v>
      </c>
      <c r="M1488" t="s">
        <v>62</v>
      </c>
      <c r="N1488">
        <v>28</v>
      </c>
    </row>
    <row r="1489" spans="1:14" x14ac:dyDescent="0.35">
      <c r="A1489">
        <v>101488</v>
      </c>
      <c r="B1489">
        <v>96220</v>
      </c>
      <c r="C1489" t="s">
        <v>161</v>
      </c>
      <c r="D1489" t="s">
        <v>34</v>
      </c>
      <c r="E1489" t="s">
        <v>43</v>
      </c>
      <c r="F1489" t="s">
        <v>35</v>
      </c>
      <c r="G1489" t="s">
        <v>28</v>
      </c>
      <c r="H1489">
        <v>1951</v>
      </c>
      <c r="I1489">
        <v>1320.56</v>
      </c>
      <c r="J1489">
        <v>1320.56</v>
      </c>
      <c r="K1489">
        <v>630.44000000000005</v>
      </c>
      <c r="L1489">
        <v>630.44000000000005</v>
      </c>
      <c r="M1489" t="s">
        <v>19</v>
      </c>
      <c r="N1489">
        <v>67</v>
      </c>
    </row>
    <row r="1490" spans="1:14" x14ac:dyDescent="0.35">
      <c r="A1490">
        <v>101489</v>
      </c>
      <c r="B1490">
        <v>43012</v>
      </c>
      <c r="C1490" t="s">
        <v>672</v>
      </c>
      <c r="D1490" t="s">
        <v>34</v>
      </c>
      <c r="E1490" t="s">
        <v>56</v>
      </c>
      <c r="F1490" t="s">
        <v>32</v>
      </c>
      <c r="G1490" t="s">
        <v>24</v>
      </c>
      <c r="H1490">
        <v>17326</v>
      </c>
      <c r="I1490">
        <v>14744.45</v>
      </c>
      <c r="J1490">
        <v>14744.45</v>
      </c>
      <c r="K1490">
        <v>2581.5500000000002</v>
      </c>
      <c r="L1490">
        <v>2581.5500000000002</v>
      </c>
      <c r="M1490" t="s">
        <v>19</v>
      </c>
      <c r="N1490">
        <v>163</v>
      </c>
    </row>
    <row r="1491" spans="1:14" x14ac:dyDescent="0.35">
      <c r="A1491">
        <v>101490</v>
      </c>
      <c r="B1491">
        <v>34723</v>
      </c>
      <c r="C1491" t="s">
        <v>271</v>
      </c>
      <c r="D1491" t="s">
        <v>65</v>
      </c>
      <c r="E1491" t="s">
        <v>41</v>
      </c>
      <c r="F1491" t="s">
        <v>27</v>
      </c>
      <c r="G1491" t="s">
        <v>45</v>
      </c>
      <c r="H1491">
        <v>7680</v>
      </c>
      <c r="I1491">
        <v>4754.68</v>
      </c>
      <c r="J1491">
        <v>4754.68</v>
      </c>
      <c r="K1491">
        <v>2925.32</v>
      </c>
      <c r="L1491">
        <v>2925.32</v>
      </c>
      <c r="M1491" t="s">
        <v>19</v>
      </c>
      <c r="N1491">
        <v>152</v>
      </c>
    </row>
    <row r="1492" spans="1:14" x14ac:dyDescent="0.35">
      <c r="A1492">
        <v>101491</v>
      </c>
      <c r="B1492">
        <v>68416</v>
      </c>
      <c r="C1492" t="s">
        <v>467</v>
      </c>
      <c r="D1492" t="s">
        <v>15</v>
      </c>
      <c r="E1492" t="s">
        <v>43</v>
      </c>
      <c r="F1492" t="s">
        <v>44</v>
      </c>
      <c r="G1492" t="s">
        <v>38</v>
      </c>
      <c r="H1492">
        <v>19372</v>
      </c>
      <c r="I1492">
        <v>16570.63</v>
      </c>
      <c r="J1492">
        <v>16570.63</v>
      </c>
      <c r="K1492">
        <v>2801.37</v>
      </c>
      <c r="L1492">
        <v>2801.37</v>
      </c>
      <c r="M1492" t="s">
        <v>19</v>
      </c>
      <c r="N1492">
        <v>29</v>
      </c>
    </row>
    <row r="1493" spans="1:14" x14ac:dyDescent="0.35">
      <c r="A1493">
        <v>101492</v>
      </c>
      <c r="B1493">
        <v>91431</v>
      </c>
      <c r="C1493" t="s">
        <v>126</v>
      </c>
      <c r="D1493" t="s">
        <v>65</v>
      </c>
      <c r="E1493" t="s">
        <v>37</v>
      </c>
      <c r="F1493" t="s">
        <v>17</v>
      </c>
      <c r="G1493" t="s">
        <v>18</v>
      </c>
      <c r="H1493">
        <v>12151</v>
      </c>
      <c r="I1493">
        <v>7741.55</v>
      </c>
      <c r="J1493">
        <v>7741.55</v>
      </c>
      <c r="K1493">
        <v>4409.45</v>
      </c>
      <c r="L1493">
        <v>4409.45</v>
      </c>
      <c r="M1493" t="s">
        <v>19</v>
      </c>
      <c r="N1493">
        <v>127</v>
      </c>
    </row>
    <row r="1494" spans="1:14" x14ac:dyDescent="0.35">
      <c r="A1494">
        <v>101493</v>
      </c>
      <c r="B1494">
        <v>89554</v>
      </c>
      <c r="C1494" t="s">
        <v>68</v>
      </c>
      <c r="D1494" t="s">
        <v>34</v>
      </c>
      <c r="E1494" t="s">
        <v>37</v>
      </c>
      <c r="F1494" t="s">
        <v>35</v>
      </c>
      <c r="G1494" t="s">
        <v>45</v>
      </c>
      <c r="H1494">
        <v>3975</v>
      </c>
      <c r="I1494">
        <v>3701.09</v>
      </c>
      <c r="J1494">
        <v>1599.22</v>
      </c>
      <c r="K1494">
        <v>273.91000000000003</v>
      </c>
      <c r="L1494">
        <v>2375.7800000000002</v>
      </c>
      <c r="M1494" t="s">
        <v>39</v>
      </c>
      <c r="N1494">
        <v>171</v>
      </c>
    </row>
    <row r="1495" spans="1:14" x14ac:dyDescent="0.35">
      <c r="A1495">
        <v>101494</v>
      </c>
      <c r="B1495">
        <v>15596</v>
      </c>
      <c r="C1495" t="s">
        <v>662</v>
      </c>
      <c r="D1495" t="s">
        <v>34</v>
      </c>
      <c r="E1495" t="s">
        <v>16</v>
      </c>
      <c r="F1495" t="s">
        <v>61</v>
      </c>
      <c r="G1495" t="s">
        <v>45</v>
      </c>
      <c r="H1495">
        <v>9048</v>
      </c>
      <c r="I1495">
        <v>7899.53</v>
      </c>
      <c r="J1495">
        <v>7899.53</v>
      </c>
      <c r="K1495">
        <v>1148.47</v>
      </c>
      <c r="L1495">
        <v>1148.47</v>
      </c>
      <c r="M1495" t="s">
        <v>19</v>
      </c>
      <c r="N1495">
        <v>44</v>
      </c>
    </row>
    <row r="1496" spans="1:14" x14ac:dyDescent="0.35">
      <c r="A1496">
        <v>101495</v>
      </c>
      <c r="B1496">
        <v>29484</v>
      </c>
      <c r="C1496" t="s">
        <v>673</v>
      </c>
      <c r="D1496" t="s">
        <v>15</v>
      </c>
      <c r="E1496" t="s">
        <v>56</v>
      </c>
      <c r="F1496" t="s">
        <v>17</v>
      </c>
      <c r="G1496" t="s">
        <v>72</v>
      </c>
      <c r="H1496">
        <v>12635</v>
      </c>
      <c r="I1496">
        <v>9924.44</v>
      </c>
      <c r="J1496">
        <v>9924.44</v>
      </c>
      <c r="K1496">
        <v>2710.56</v>
      </c>
      <c r="L1496">
        <v>2710.56</v>
      </c>
      <c r="M1496" t="s">
        <v>19</v>
      </c>
      <c r="N1496">
        <v>134</v>
      </c>
    </row>
    <row r="1497" spans="1:14" x14ac:dyDescent="0.35">
      <c r="A1497">
        <v>101496</v>
      </c>
      <c r="B1497">
        <v>77652</v>
      </c>
      <c r="C1497" t="s">
        <v>313</v>
      </c>
      <c r="D1497" t="s">
        <v>30</v>
      </c>
      <c r="E1497" t="s">
        <v>31</v>
      </c>
      <c r="F1497" t="s">
        <v>17</v>
      </c>
      <c r="G1497" t="s">
        <v>72</v>
      </c>
      <c r="H1497">
        <v>22022</v>
      </c>
      <c r="I1497">
        <v>20767.28</v>
      </c>
      <c r="J1497">
        <v>20767.28</v>
      </c>
      <c r="K1497">
        <v>1254.72</v>
      </c>
      <c r="L1497">
        <v>1254.72</v>
      </c>
      <c r="M1497" t="s">
        <v>19</v>
      </c>
      <c r="N1497">
        <v>28</v>
      </c>
    </row>
    <row r="1498" spans="1:14" x14ac:dyDescent="0.35">
      <c r="A1498">
        <v>101497</v>
      </c>
      <c r="B1498">
        <v>29543</v>
      </c>
      <c r="C1498" t="s">
        <v>674</v>
      </c>
      <c r="D1498" t="s">
        <v>65</v>
      </c>
      <c r="E1498" t="s">
        <v>26</v>
      </c>
      <c r="F1498" t="s">
        <v>23</v>
      </c>
      <c r="G1498" t="s">
        <v>38</v>
      </c>
      <c r="H1498">
        <v>15976</v>
      </c>
      <c r="I1498">
        <v>10517.85</v>
      </c>
      <c r="J1498">
        <v>10517.85</v>
      </c>
      <c r="K1498">
        <v>5458.15</v>
      </c>
      <c r="L1498">
        <v>5458.15</v>
      </c>
      <c r="M1498" t="s">
        <v>19</v>
      </c>
      <c r="N1498">
        <v>174</v>
      </c>
    </row>
    <row r="1499" spans="1:14" x14ac:dyDescent="0.35">
      <c r="A1499">
        <v>101498</v>
      </c>
      <c r="B1499">
        <v>86486</v>
      </c>
      <c r="C1499" t="s">
        <v>461</v>
      </c>
      <c r="D1499" t="s">
        <v>34</v>
      </c>
      <c r="E1499" t="s">
        <v>31</v>
      </c>
      <c r="F1499" t="s">
        <v>23</v>
      </c>
      <c r="G1499" t="s">
        <v>28</v>
      </c>
      <c r="H1499">
        <v>17697</v>
      </c>
      <c r="I1499">
        <v>13443</v>
      </c>
      <c r="J1499">
        <v>13443</v>
      </c>
      <c r="K1499">
        <v>4254</v>
      </c>
      <c r="L1499">
        <v>4254</v>
      </c>
      <c r="M1499" t="s">
        <v>19</v>
      </c>
      <c r="N1499">
        <v>152</v>
      </c>
    </row>
    <row r="1500" spans="1:14" x14ac:dyDescent="0.35">
      <c r="A1500">
        <v>101499</v>
      </c>
      <c r="B1500">
        <v>63287</v>
      </c>
      <c r="C1500" t="s">
        <v>71</v>
      </c>
      <c r="D1500" t="s">
        <v>15</v>
      </c>
      <c r="E1500" t="s">
        <v>22</v>
      </c>
      <c r="F1500" t="s">
        <v>54</v>
      </c>
      <c r="G1500" t="s">
        <v>45</v>
      </c>
      <c r="H1500">
        <v>4172</v>
      </c>
      <c r="I1500">
        <v>3318.48</v>
      </c>
      <c r="J1500">
        <v>2173.91</v>
      </c>
      <c r="K1500">
        <v>853.52</v>
      </c>
      <c r="L1500">
        <v>1998.09</v>
      </c>
      <c r="M1500" t="s">
        <v>39</v>
      </c>
      <c r="N1500">
        <v>165</v>
      </c>
    </row>
    <row r="1501" spans="1:14" x14ac:dyDescent="0.35">
      <c r="A1501">
        <v>101500</v>
      </c>
      <c r="B1501">
        <v>21088</v>
      </c>
      <c r="C1501" t="s">
        <v>370</v>
      </c>
      <c r="D1501" t="s">
        <v>15</v>
      </c>
      <c r="E1501" t="s">
        <v>43</v>
      </c>
      <c r="F1501" t="s">
        <v>54</v>
      </c>
      <c r="G1501" t="s">
        <v>47</v>
      </c>
      <c r="H1501">
        <v>24764</v>
      </c>
      <c r="I1501">
        <v>17726.669999999998</v>
      </c>
      <c r="J1501">
        <v>4716.6000000000004</v>
      </c>
      <c r="K1501">
        <v>7037.33</v>
      </c>
      <c r="L1501">
        <v>20047.400000000001</v>
      </c>
      <c r="M1501" t="s">
        <v>50</v>
      </c>
      <c r="N1501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7D5C-3C87-418C-B0E7-AE6F16FDA790}">
  <dimension ref="A1:L90"/>
  <sheetViews>
    <sheetView topLeftCell="A61" workbookViewId="0">
      <selection activeCell="A87" sqref="A87:L87"/>
    </sheetView>
  </sheetViews>
  <sheetFormatPr defaultRowHeight="14.5" x14ac:dyDescent="0.35"/>
  <cols>
    <col min="1" max="1" width="32.7265625" customWidth="1"/>
    <col min="2" max="2" width="36.36328125" customWidth="1"/>
    <col min="3" max="5" width="21.81640625" customWidth="1"/>
    <col min="6" max="8" width="18.1796875" customWidth="1"/>
    <col min="9" max="9" width="21.81640625" customWidth="1"/>
    <col min="10" max="10" width="16.36328125" customWidth="1"/>
    <col min="12" max="12" width="18.1796875" customWidth="1"/>
  </cols>
  <sheetData>
    <row r="1" spans="1:12" ht="40" customHeight="1" x14ac:dyDescent="0.6">
      <c r="A1" s="32" t="s">
        <v>675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18.5" x14ac:dyDescent="0.45">
      <c r="A3" s="2" t="s">
        <v>676</v>
      </c>
    </row>
    <row r="4" spans="1:12" x14ac:dyDescent="0.35">
      <c r="A4" s="3" t="s">
        <v>677</v>
      </c>
      <c r="B4">
        <f>COUNTA(Hospital_Finance_Data!A2:A1501)</f>
        <v>1500</v>
      </c>
    </row>
    <row r="5" spans="1:12" x14ac:dyDescent="0.35">
      <c r="A5" s="3" t="s">
        <v>678</v>
      </c>
      <c r="B5" t="s">
        <v>715</v>
      </c>
    </row>
    <row r="6" spans="1:12" x14ac:dyDescent="0.35">
      <c r="A6" s="3" t="s">
        <v>679</v>
      </c>
      <c r="B6" s="4">
        <f>SUM(Hospital_Finance_Data!H2:H1501)</f>
        <v>19268577</v>
      </c>
    </row>
    <row r="7" spans="1:12" x14ac:dyDescent="0.35">
      <c r="A7" s="3" t="s">
        <v>680</v>
      </c>
      <c r="B7" s="4">
        <f>SUM(Hospital_Finance_Data!J2:J1501)</f>
        <v>10820244.04000001</v>
      </c>
    </row>
    <row r="8" spans="1:12" x14ac:dyDescent="0.35">
      <c r="A8" s="3" t="s">
        <v>681</v>
      </c>
      <c r="B8" s="4">
        <f>SUM(Hospital_Finance_Data!L2:L1501)</f>
        <v>8448332.9600000009</v>
      </c>
    </row>
    <row r="9" spans="1:12" x14ac:dyDescent="0.35">
      <c r="A9" s="3" t="s">
        <v>682</v>
      </c>
      <c r="B9" s="5">
        <f>B7/B6</f>
        <v>0.56154868312278639</v>
      </c>
    </row>
    <row r="11" spans="1:12" ht="18.5" x14ac:dyDescent="0.45">
      <c r="A11" s="2" t="s">
        <v>683</v>
      </c>
      <c r="G11" s="2" t="s">
        <v>688</v>
      </c>
    </row>
    <row r="12" spans="1:12" x14ac:dyDescent="0.35">
      <c r="A12" s="8" t="s">
        <v>3</v>
      </c>
      <c r="B12" s="8" t="s">
        <v>684</v>
      </c>
      <c r="C12" s="8" t="s">
        <v>685</v>
      </c>
      <c r="D12" s="8" t="s">
        <v>686</v>
      </c>
      <c r="E12" s="8" t="s">
        <v>687</v>
      </c>
      <c r="G12" s="8" t="s">
        <v>689</v>
      </c>
      <c r="H12" s="8" t="s">
        <v>690</v>
      </c>
      <c r="I12" s="8" t="s">
        <v>685</v>
      </c>
      <c r="J12" s="8" t="s">
        <v>691</v>
      </c>
    </row>
    <row r="13" spans="1:12" x14ac:dyDescent="0.35">
      <c r="A13" s="6" t="s">
        <v>34</v>
      </c>
      <c r="B13" s="6">
        <f>COUNTIF(Hospital_Finance_Data!D:D,"Cardiology")</f>
        <v>230</v>
      </c>
      <c r="C13" s="7">
        <f>SUMIF(Hospital_Finance_Data!D:D,"Cardiology",Hospital_Finance_Data!H:H)</f>
        <v>2979631</v>
      </c>
      <c r="D13" s="7">
        <f>SUMIF(Hospital_Finance_Data!D:D,"Cardiology",Hospital_Finance_Data!J:J)</f>
        <v>1638945.7999999993</v>
      </c>
      <c r="E13" s="10">
        <f>AVERAGEIF(Hospital_Finance_Data!D:D,"Cardiology",Hospital_Finance_Data!N:N)</f>
        <v>93.395652173913049</v>
      </c>
      <c r="G13" s="6" t="s">
        <v>19</v>
      </c>
      <c r="H13" s="6">
        <f>COUNTIF(Hospital_Finance_Data!M:M,"Paid")</f>
        <v>911</v>
      </c>
      <c r="I13" s="7">
        <f>SUMIF(Hospital_Finance_Data!M:M,"Paid",Hospital_Finance_Data!H:H)</f>
        <v>11640314</v>
      </c>
      <c r="J13" s="12">
        <f>I13/$B$6</f>
        <v>0.60410864798163355</v>
      </c>
    </row>
    <row r="14" spans="1:12" x14ac:dyDescent="0.35">
      <c r="A14" s="6" t="s">
        <v>30</v>
      </c>
      <c r="B14" s="6">
        <f>COUNTIF(Hospital_Finance_Data!D:D,"Emergency")</f>
        <v>240</v>
      </c>
      <c r="C14" s="7">
        <f>SUMIF(Hospital_Finance_Data!D:D,"Emergency",Hospital_Finance_Data!H:H)</f>
        <v>3123139</v>
      </c>
      <c r="D14" s="7">
        <f>SUMIF(Hospital_Finance_Data!D:D,"Emergency",Hospital_Finance_Data!J:J)</f>
        <v>1770907.7300000004</v>
      </c>
      <c r="E14" s="10">
        <f>AVERAGEIF(Hospital_Finance_Data!D:D,"Emergency",Hospital_Finance_Data!N:N)</f>
        <v>90.512500000000003</v>
      </c>
      <c r="G14" s="6" t="s">
        <v>39</v>
      </c>
      <c r="H14" s="6">
        <f>COUNTIF(Hospital_Finance_Data!M:M,"Partial")</f>
        <v>310</v>
      </c>
      <c r="I14" s="7">
        <f>SUMIF(Hospital_Finance_Data!M:M,"Partial",Hospital_Finance_Data!H:H)</f>
        <v>3934290</v>
      </c>
      <c r="J14" s="12">
        <f>I14/$B$6</f>
        <v>0.20418165804355973</v>
      </c>
    </row>
    <row r="15" spans="1:12" x14ac:dyDescent="0.35">
      <c r="A15" s="6" t="s">
        <v>52</v>
      </c>
      <c r="B15" s="6">
        <f>COUNTIF(Hospital_Finance_Data!D:D,"Neurology")</f>
        <v>193</v>
      </c>
      <c r="C15" s="7">
        <f>SUMIF(Hospital_Finance_Data!D:D,"Neurology",Hospital_Finance_Data!H:H)</f>
        <v>2645101</v>
      </c>
      <c r="D15" s="7">
        <f>SUMIF(Hospital_Finance_Data!D:D,"Neurology",Hospital_Finance_Data!J:J)</f>
        <v>1509986.0599999987</v>
      </c>
      <c r="E15" s="10">
        <f>AVERAGEIF(Hospital_Finance_Data!D:D,"Neurology",Hospital_Finance_Data!N:N)</f>
        <v>90.398963730569946</v>
      </c>
      <c r="G15" s="6" t="s">
        <v>50</v>
      </c>
      <c r="H15" s="6">
        <f>COUNTIF(Hospital_Finance_Data!M:M,"Pending")</f>
        <v>128</v>
      </c>
      <c r="I15" s="7">
        <f>SUMIF(Hospital_Finance_Data!M:M,"Pending",Hospital_Finance_Data!H:H)</f>
        <v>1726271</v>
      </c>
      <c r="J15" s="12">
        <f>I15/$B$6</f>
        <v>8.9589957784635577E-2</v>
      </c>
    </row>
    <row r="16" spans="1:12" x14ac:dyDescent="0.35">
      <c r="A16" s="6" t="s">
        <v>21</v>
      </c>
      <c r="B16" s="6">
        <f>COUNTIF(Hospital_Finance_Data!D:D,"Oncology")</f>
        <v>194</v>
      </c>
      <c r="C16" s="7">
        <f>SUMIF(Hospital_Finance_Data!D:D,"Oncology",Hospital_Finance_Data!H:H)</f>
        <v>2602497</v>
      </c>
      <c r="D16" s="7">
        <f>SUMIF(Hospital_Finance_Data!D:D,"Oncology",Hospital_Finance_Data!J:J)</f>
        <v>1479532.4099999995</v>
      </c>
      <c r="E16" s="10">
        <f>AVERAGEIF(Hospital_Finance_Data!D:D,"Oncology",Hospital_Finance_Data!N:N)</f>
        <v>86.572164948453604</v>
      </c>
      <c r="G16" s="6" t="s">
        <v>62</v>
      </c>
      <c r="H16" s="6">
        <f>COUNTIF(Hospital_Finance_Data!M:M,"Denied")</f>
        <v>151</v>
      </c>
      <c r="I16" s="7">
        <f>SUMIF(Hospital_Finance_Data!M:M,"Denied",Hospital_Finance_Data!H:H)</f>
        <v>1967702</v>
      </c>
      <c r="J16" s="12">
        <f>I16/$B$6</f>
        <v>0.10211973619017117</v>
      </c>
    </row>
    <row r="17" spans="1:12" x14ac:dyDescent="0.35">
      <c r="A17" s="6" t="s">
        <v>15</v>
      </c>
      <c r="B17" s="6">
        <f>COUNTIF(Hospital_Finance_Data!D:D,"Orthopedics")</f>
        <v>219</v>
      </c>
      <c r="C17" s="7">
        <f>SUMIF(Hospital_Finance_Data!D:D,"Orthopedics",Hospital_Finance_Data!H:H)</f>
        <v>2807805</v>
      </c>
      <c r="D17" s="7">
        <f>SUMIF(Hospital_Finance_Data!D:D,"Orthopedics",Hospital_Finance_Data!J:J)</f>
        <v>1588930.7699999998</v>
      </c>
      <c r="E17" s="10">
        <f>AVERAGEIF(Hospital_Finance_Data!D:D,"Orthopedics",Hospital_Finance_Data!N:N)</f>
        <v>82.748858447488587</v>
      </c>
    </row>
    <row r="18" spans="1:12" ht="18.5" x14ac:dyDescent="0.45">
      <c r="A18" s="6" t="s">
        <v>49</v>
      </c>
      <c r="B18" s="6">
        <f>COUNTIF(Hospital_Finance_Data!D:D,"Pediatrics")</f>
        <v>211</v>
      </c>
      <c r="C18" s="7">
        <f>SUMIF(Hospital_Finance_Data!D:D,"Pediatrics",Hospital_Finance_Data!H:H)</f>
        <v>2488184</v>
      </c>
      <c r="D18" s="7">
        <f>SUMIF(Hospital_Finance_Data!D:D,"Pediatrics",Hospital_Finance_Data!J:J)</f>
        <v>1306448.7600000007</v>
      </c>
      <c r="E18" s="10">
        <f>AVERAGEIF(Hospital_Finance_Data!D:D,"Pediatrics",Hospital_Finance_Data!N:N)</f>
        <v>91.60189573459715</v>
      </c>
      <c r="G18" s="2" t="s">
        <v>697</v>
      </c>
    </row>
    <row r="19" spans="1:12" x14ac:dyDescent="0.35">
      <c r="A19" s="6" t="s">
        <v>65</v>
      </c>
      <c r="B19" s="6">
        <f>COUNTIF(Hospital_Finance_Data!D:D,"Radiology")</f>
        <v>213</v>
      </c>
      <c r="C19" s="7">
        <f>SUMIF(Hospital_Finance_Data!D:D,"Radiology",Hospital_Finance_Data!H:H)</f>
        <v>2622220</v>
      </c>
      <c r="D19" s="7">
        <f>SUMIF(Hospital_Finance_Data!D:D,"Radiology",Hospital_Finance_Data!J:J)</f>
        <v>1525492.5099999995</v>
      </c>
      <c r="E19" s="10">
        <f>AVERAGEIF(Hospital_Finance_Data!D:D,"Radiology",Hospital_Finance_Data!N:N)</f>
        <v>90.629107981220656</v>
      </c>
      <c r="G19" s="21" t="s">
        <v>698</v>
      </c>
      <c r="H19" s="15" t="str">
        <f>INDEX(A13:A19,MATCH(MAX(C13:C19),C13:C19,0))</f>
        <v>Emergency</v>
      </c>
      <c r="I19" s="15"/>
      <c r="J19" s="15"/>
      <c r="K19" s="15"/>
      <c r="L19" s="18"/>
    </row>
    <row r="20" spans="1:12" x14ac:dyDescent="0.35">
      <c r="G20" s="22" t="s">
        <v>699</v>
      </c>
      <c r="H20" s="13" t="str" cm="1">
        <f t="array" ref="H20">INDEX(A13:A19,MATCH(MIN(D13:D19/C13:C19),D13:D19/C13:C19,0))</f>
        <v>Pediatrics</v>
      </c>
      <c r="I20" s="13"/>
      <c r="J20" s="13"/>
      <c r="K20" s="13"/>
      <c r="L20" s="19"/>
    </row>
    <row r="21" spans="1:12" ht="18.5" x14ac:dyDescent="0.45">
      <c r="A21" s="2" t="s">
        <v>692</v>
      </c>
      <c r="G21" s="22" t="s">
        <v>700</v>
      </c>
      <c r="H21" s="23">
        <f>SUMIF(Hospital_Finance_Data!M:M,"Denied",Hospital_Finance_Data!H:H)</f>
        <v>1967702</v>
      </c>
      <c r="I21" s="13"/>
      <c r="J21" s="13"/>
      <c r="K21" s="13"/>
      <c r="L21" s="19"/>
    </row>
    <row r="22" spans="1:12" x14ac:dyDescent="0.35">
      <c r="A22" s="8" t="s">
        <v>693</v>
      </c>
      <c r="B22" s="8" t="s">
        <v>684</v>
      </c>
      <c r="C22" s="8" t="s">
        <v>685</v>
      </c>
      <c r="D22" s="8" t="s">
        <v>694</v>
      </c>
      <c r="E22" s="8" t="s">
        <v>695</v>
      </c>
      <c r="F22" s="9" t="s">
        <v>696</v>
      </c>
      <c r="G22" s="22" t="s">
        <v>701</v>
      </c>
      <c r="H22" s="23">
        <f>AVERAGE(Hospital_Finance_Data!K2:K1501)</f>
        <v>3233.1601266666653</v>
      </c>
      <c r="I22" s="13"/>
      <c r="J22" s="13"/>
      <c r="K22" s="13"/>
      <c r="L22" s="19"/>
    </row>
    <row r="23" spans="1:12" x14ac:dyDescent="0.35">
      <c r="A23" s="6" t="s">
        <v>18</v>
      </c>
      <c r="B23" s="6">
        <f>COUNTIF(Hospital_Finance_Data!G:G,"Medicare")</f>
        <v>215</v>
      </c>
      <c r="C23" s="7">
        <f>SUMIF(Hospital_Finance_Data!G:G,"Medicare",Hospital_Finance_Data!H:H)</f>
        <v>2738026</v>
      </c>
      <c r="D23" s="7">
        <f>AVERAGEIF(Hospital_Finance_Data!G:G,"Medicare",Hospital_Finance_Data!I:I)</f>
        <v>9318.5251162790701</v>
      </c>
      <c r="E23" s="6">
        <f>COUNTIFS(Hospital_Finance_Data!G:G,"Medicare",Hospital_Finance_Data!M:M,"Denied")</f>
        <v>21</v>
      </c>
      <c r="F23" s="11">
        <f t="shared" ref="F23:F29" si="0">E23/B23</f>
        <v>9.7674418604651161E-2</v>
      </c>
      <c r="G23" s="22" t="s">
        <v>702</v>
      </c>
      <c r="H23" s="13">
        <f>COUNTIF(Hospital_Finance_Data!N:N,"&gt;90")</f>
        <v>739</v>
      </c>
      <c r="I23" s="13"/>
      <c r="J23" s="13"/>
      <c r="K23" s="13"/>
      <c r="L23" s="19"/>
    </row>
    <row r="24" spans="1:12" x14ac:dyDescent="0.35">
      <c r="A24" s="6" t="s">
        <v>47</v>
      </c>
      <c r="B24" s="6">
        <f>COUNTIF(Hospital_Finance_Data!G:G,"Medicaid")</f>
        <v>212</v>
      </c>
      <c r="C24" s="7">
        <f>SUMIF(Hospital_Finance_Data!G:G,"Medicaid",Hospital_Finance_Data!H:H)</f>
        <v>2643392</v>
      </c>
      <c r="D24" s="7">
        <f>AVERAGEIF(Hospital_Finance_Data!G:G,"Medicaid",Hospital_Finance_Data!I:I)</f>
        <v>9361.2935849056576</v>
      </c>
      <c r="E24" s="6">
        <f>COUNTIFS(Hospital_Finance_Data!G:G,"Medicaid",Hospital_Finance_Data!M:M,"Denied")</f>
        <v>25</v>
      </c>
      <c r="F24" s="11">
        <f t="shared" si="0"/>
        <v>0.11792452830188679</v>
      </c>
      <c r="G24" s="22" t="s">
        <v>703</v>
      </c>
      <c r="H24" s="13">
        <f>COUNTIF(Hospital_Finance_Data!H:H,"&gt;20000")</f>
        <v>327</v>
      </c>
      <c r="I24" s="13"/>
      <c r="J24" s="13"/>
      <c r="K24" s="13"/>
      <c r="L24" s="19"/>
    </row>
    <row r="25" spans="1:12" x14ac:dyDescent="0.35">
      <c r="A25" s="6" t="s">
        <v>28</v>
      </c>
      <c r="B25" s="6">
        <f>COUNTIF(Hospital_Finance_Data!G:G,"Cigna")</f>
        <v>218</v>
      </c>
      <c r="C25" s="7">
        <f>SUMIF(Hospital_Finance_Data!G:G,"Cigna",Hospital_Finance_Data!H:H)</f>
        <v>2891546</v>
      </c>
      <c r="D25" s="7">
        <f>AVERAGEIF(Hospital_Finance_Data!G:G,"Cigna",Hospital_Finance_Data!I:I)</f>
        <v>9993.1301376146748</v>
      </c>
      <c r="E25" s="6">
        <f>COUNTIFS(Hospital_Finance_Data!G:G,"Cigna",Hospital_Finance_Data!M:M,"Denied")</f>
        <v>31</v>
      </c>
      <c r="F25" s="11">
        <f t="shared" si="0"/>
        <v>0.14220183486238533</v>
      </c>
      <c r="G25" s="22" t="s">
        <v>704</v>
      </c>
      <c r="H25" s="23">
        <f>SUMIF(Hospital_Finance_Data!M:M,"Pending",Hospital_Finance_Data!L:L)</f>
        <v>1528139.2099999997</v>
      </c>
      <c r="I25" s="13"/>
      <c r="J25" s="13"/>
      <c r="K25" s="13"/>
      <c r="L25" s="19"/>
    </row>
    <row r="26" spans="1:12" x14ac:dyDescent="0.35">
      <c r="A26" s="6" t="s">
        <v>72</v>
      </c>
      <c r="B26" s="6">
        <f>COUNTIF(Hospital_Finance_Data!G:G,"Blue Cross")</f>
        <v>220</v>
      </c>
      <c r="C26" s="7">
        <f>SUMIF(Hospital_Finance_Data!G:G,"Blue Cross",Hospital_Finance_Data!H:H)</f>
        <v>2799725</v>
      </c>
      <c r="D26" s="7">
        <f>AVERAGEIF(Hospital_Finance_Data!G:G,"Blue Cross",Hospital_Finance_Data!I:I)</f>
        <v>9667.8316818181811</v>
      </c>
      <c r="E26" s="6">
        <f>COUNTIFS(Hospital_Finance_Data!G:G,"Blue Cross",Hospital_Finance_Data!M:M,"Denied")</f>
        <v>21</v>
      </c>
      <c r="F26" s="11">
        <f t="shared" si="0"/>
        <v>9.5454545454545459E-2</v>
      </c>
      <c r="G26" s="22" t="s">
        <v>705</v>
      </c>
      <c r="H26" s="23">
        <f>SUMIF(Hospital_Finance_Data!M:M,"Denied",Hospital_Finance_Data!L:L)</f>
        <v>1967702</v>
      </c>
      <c r="I26" s="13"/>
      <c r="J26" s="13"/>
      <c r="K26" s="13"/>
      <c r="L26" s="19"/>
    </row>
    <row r="27" spans="1:12" x14ac:dyDescent="0.35">
      <c r="A27" s="6" t="s">
        <v>45</v>
      </c>
      <c r="B27" s="6">
        <f>COUNTIF(Hospital_Finance_Data!G:G,"Aetna")</f>
        <v>210</v>
      </c>
      <c r="C27" s="7">
        <f>SUMIF(Hospital_Finance_Data!G:G,"Aetna",Hospital_Finance_Data!H:H)</f>
        <v>2610691</v>
      </c>
      <c r="D27" s="7">
        <f>AVERAGEIF(Hospital_Finance_Data!G:G,"Aetna",Hospital_Finance_Data!I:I)</f>
        <v>9343.1370952380857</v>
      </c>
      <c r="E27" s="6">
        <f>COUNTIFS(Hospital_Finance_Data!G:G,"Aetna",Hospital_Finance_Data!M:M,"Denied")</f>
        <v>20</v>
      </c>
      <c r="F27" s="11">
        <f t="shared" si="0"/>
        <v>9.5238095238095233E-2</v>
      </c>
      <c r="G27" s="16"/>
      <c r="H27" s="13"/>
      <c r="I27" s="13"/>
      <c r="J27" s="13"/>
      <c r="K27" s="13"/>
      <c r="L27" s="19"/>
    </row>
    <row r="28" spans="1:12" x14ac:dyDescent="0.35">
      <c r="A28" s="6" t="s">
        <v>38</v>
      </c>
      <c r="B28" s="6">
        <f>COUNTIF(Hospital_Finance_Data!G:G,"UnitedHealthcare")</f>
        <v>233</v>
      </c>
      <c r="C28" s="7">
        <f>SUMIF(Hospital_Finance_Data!G:G,"UnitedHealthcare",Hospital_Finance_Data!H:H)</f>
        <v>3146432</v>
      </c>
      <c r="D28" s="7">
        <f>AVERAGEIF(Hospital_Finance_Data!G:G,"UnitedHealthcare",Hospital_Finance_Data!I:I)</f>
        <v>10134.074763948487</v>
      </c>
      <c r="E28" s="6">
        <f>COUNTIFS(Hospital_Finance_Data!G:G,"UnitedHealthcare",Hospital_Finance_Data!M:M,"Denied")</f>
        <v>18</v>
      </c>
      <c r="F28" s="11">
        <f t="shared" si="0"/>
        <v>7.7253218884120178E-2</v>
      </c>
      <c r="G28" s="16"/>
      <c r="H28" s="13"/>
      <c r="I28" s="13"/>
      <c r="J28" s="13"/>
      <c r="K28" s="13"/>
      <c r="L28" s="19"/>
    </row>
    <row r="29" spans="1:12" x14ac:dyDescent="0.35">
      <c r="A29" s="6" t="s">
        <v>24</v>
      </c>
      <c r="B29" s="6">
        <f>COUNTIF(Hospital_Finance_Data!G:G,"Self-Pay")</f>
        <v>192</v>
      </c>
      <c r="C29" s="7">
        <f>SUMIF(Hospital_Finance_Data!G:G,"Self-Pay",Hospital_Finance_Data!H:H)</f>
        <v>2438765</v>
      </c>
      <c r="D29" s="7">
        <f>AVERAGEIF(Hospital_Finance_Data!G:G,"Self-Pay",Hospital_Finance_Data!I:I)</f>
        <v>9385.604791666663</v>
      </c>
      <c r="E29" s="6">
        <f>COUNTIFS(Hospital_Finance_Data!G:G,"Self-Pay",Hospital_Finance_Data!M:M,"Denied")</f>
        <v>15</v>
      </c>
      <c r="F29" s="11">
        <f t="shared" si="0"/>
        <v>7.8125E-2</v>
      </c>
      <c r="G29" s="17"/>
      <c r="H29" s="14"/>
      <c r="I29" s="14"/>
      <c r="J29" s="14"/>
      <c r="K29" s="14"/>
      <c r="L29" s="20"/>
    </row>
    <row r="65" spans="1:3" ht="18.5" x14ac:dyDescent="0.45">
      <c r="A65" s="2" t="s">
        <v>706</v>
      </c>
    </row>
    <row r="66" spans="1:3" x14ac:dyDescent="0.35">
      <c r="A66" s="8" t="s">
        <v>707</v>
      </c>
      <c r="B66" s="8" t="s">
        <v>690</v>
      </c>
      <c r="C66" s="8" t="s">
        <v>708</v>
      </c>
    </row>
    <row r="67" spans="1:3" x14ac:dyDescent="0.35">
      <c r="A67" s="6" t="s">
        <v>709</v>
      </c>
      <c r="B67" s="6">
        <f>COUNTIFS(Hospital_Finance_Data!N:N,"&gt;=0",Hospital_Finance_Data!N:N,"&lt;=30")</f>
        <v>282</v>
      </c>
      <c r="C67" s="7">
        <f>SUMIFS(Hospital_Finance_Data!L:L,Hospital_Finance_Data!N:N,"&gt;=0",Hospital_Finance_Data!N:N,"&lt;=30")</f>
        <v>1611313.0000000005</v>
      </c>
    </row>
    <row r="68" spans="1:3" x14ac:dyDescent="0.35">
      <c r="A68" s="6" t="s">
        <v>710</v>
      </c>
      <c r="B68" s="6">
        <f>COUNTIFS(Hospital_Finance_Data!N:N,"&gt;30",Hospital_Finance_Data!N:N,"&lt;=60")</f>
        <v>229</v>
      </c>
      <c r="C68" s="7">
        <f>SUMIFS(Hospital_Finance_Data!L:L,Hospital_Finance_Data!N:N,"&gt;30",Hospital_Finance_Data!N:N,"&lt;=60")</f>
        <v>1298319.6599999999</v>
      </c>
    </row>
    <row r="69" spans="1:3" x14ac:dyDescent="0.35">
      <c r="A69" s="6" t="s">
        <v>711</v>
      </c>
      <c r="B69" s="6">
        <f>COUNTIFS(Hospital_Finance_Data!N:N,"&gt;60",Hospital_Finance_Data!N:N,"&lt;=90")</f>
        <v>250</v>
      </c>
      <c r="C69" s="7">
        <f>SUMIFS(Hospital_Finance_Data!L:L,Hospital_Finance_Data!N:N,"&gt;60",Hospital_Finance_Data!N:N,"&lt;=90")</f>
        <v>1493897.9300000004</v>
      </c>
    </row>
    <row r="70" spans="1:3" x14ac:dyDescent="0.35">
      <c r="A70" s="6" t="s">
        <v>712</v>
      </c>
      <c r="B70" s="6">
        <f>COUNTIFS(Hospital_Finance_Data!N:N,"&gt;90",Hospital_Finance_Data!N:N,"&lt;=120")</f>
        <v>235</v>
      </c>
      <c r="C70" s="7">
        <f>SUMIFS(Hospital_Finance_Data!L:L,Hospital_Finance_Data!N:N,"&gt;90",Hospital_Finance_Data!N:N,"&lt;=120")</f>
        <v>1252929.3299999996</v>
      </c>
    </row>
    <row r="71" spans="1:3" x14ac:dyDescent="0.35">
      <c r="A71" s="6" t="s">
        <v>713</v>
      </c>
      <c r="B71" s="6">
        <f>COUNTIFS(Hospital_Finance_Data!N:N,"&gt;120")</f>
        <v>504</v>
      </c>
      <c r="C71" s="7">
        <f>SUMIFS(Hospital_Finance_Data!L:L,Hospital_Finance_Data!N:N,"&gt;120")</f>
        <v>2791873.0400000005</v>
      </c>
    </row>
    <row r="78" spans="1:3" ht="18.5" x14ac:dyDescent="0.45">
      <c r="A78" s="2" t="s">
        <v>714</v>
      </c>
    </row>
    <row r="81" spans="1:12" ht="22" customHeight="1" x14ac:dyDescent="0.35">
      <c r="A81" s="30" t="s">
        <v>716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1"/>
    </row>
    <row r="82" spans="1:12" ht="22" customHeight="1" x14ac:dyDescent="0.35">
      <c r="A82" s="30" t="s">
        <v>717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1"/>
    </row>
    <row r="83" spans="1:12" ht="22" customHeight="1" x14ac:dyDescent="0.35">
      <c r="A83" s="30" t="s">
        <v>718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1"/>
    </row>
    <row r="84" spans="1:12" ht="22" customHeight="1" x14ac:dyDescent="0.35">
      <c r="A84" s="30" t="s">
        <v>719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1"/>
    </row>
    <row r="85" spans="1:12" ht="22" customHeight="1" x14ac:dyDescent="0.35">
      <c r="A85" s="30" t="s">
        <v>720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1"/>
    </row>
    <row r="86" spans="1:12" ht="22" customHeight="1" x14ac:dyDescent="0.35">
      <c r="A86" s="30" t="s">
        <v>721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1"/>
    </row>
    <row r="87" spans="1:12" ht="22" customHeight="1" x14ac:dyDescent="0.35">
      <c r="A87" s="30" t="s">
        <v>722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1"/>
    </row>
    <row r="88" spans="1:12" x14ac:dyDescent="0.35">
      <c r="A88" s="26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8"/>
    </row>
    <row r="89" spans="1:12" x14ac:dyDescent="0.35">
      <c r="A89" s="2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8"/>
    </row>
    <row r="90" spans="1:12" x14ac:dyDescent="0.35">
      <c r="A90" s="27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9"/>
    </row>
  </sheetData>
  <mergeCells count="8">
    <mergeCell ref="A86:L86"/>
    <mergeCell ref="A87:L87"/>
    <mergeCell ref="A1:L1"/>
    <mergeCell ref="A81:L81"/>
    <mergeCell ref="A82:L82"/>
    <mergeCell ref="A83:L83"/>
    <mergeCell ref="A84:L84"/>
    <mergeCell ref="A85:L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Hospital_Finance_Data</vt:lpstr>
      <vt:lpstr>Analysis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Lireza Martell</cp:lastModifiedBy>
  <dcterms:created xsi:type="dcterms:W3CDTF">2026-06-08T18:07:55Z</dcterms:created>
  <dcterms:modified xsi:type="dcterms:W3CDTF">2026-06-10T20:35:45Z</dcterms:modified>
</cp:coreProperties>
</file>